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README" sheetId="1" state="visible" r:id="rId1"/>
    <sheet name="Inputs" sheetId="2" state="visible" r:id="rId2"/>
    <sheet name="Unavailability" sheetId="3" state="visible" r:id="rId3"/>
    <sheet name="Schedule" sheetId="4" state="visible" r:id="rId4"/>
    <sheet name="Summary" sheetId="5" state="visible" r:id="rId5"/>
  </sheets>
  <definedNames>
    <definedName name="WEEKDAY_STAFF">Inputs!$B$26</definedName>
    <definedName name="WEEKEND_STAFF">Inputs!$B$27</definedName>
    <definedName name="TARGET_MIN">Inputs!$B$28</definedName>
    <definedName name="TARGET_MAX">Inputs!$B$29</definedName>
    <definedName name="MAX_DAY">Inputs!$B$30</definedName>
    <definedName name="BLOCK_MIN">Inputs!$B$31</definedName>
    <definedName name="MEAL_MIN">Inputs!$B$32</definedName>
    <definedName name="REST_MIN">Inputs!$B$33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sz val="9"/>
    </font>
    <font>
      <color rgb="00ECEFF1"/>
    </font>
    <font>
      <color rgb="00BBDEFB"/>
    </font>
    <font>
      <color rgb="00C8E6C9"/>
    </font>
    <font>
      <color rgb="00FFE0B2"/>
    </font>
    <font>
      <color rgb="00F8BBD0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455A64"/>
      </patternFill>
    </fill>
    <fill>
      <patternFill patternType="solid">
        <fgColor rgb="00BBDEFB"/>
      </patternFill>
    </fill>
    <fill>
      <patternFill patternType="solid">
        <fgColor rgb="0078909C"/>
      </patternFill>
    </fill>
    <fill>
      <patternFill patternType="solid">
        <fgColor rgb="0000897B"/>
      </patternFill>
    </fill>
    <fill>
      <patternFill patternType="solid">
        <fgColor rgb="00EF6C0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8BBD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8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pivotButton="0" quotePrefix="0" xfId="0"/>
    <xf numFmtId="0" fontId="7" fillId="8" borderId="1" applyAlignment="1" pivotButton="0" quotePrefix="0" xfId="0">
      <alignment horizontal="center" vertical="center"/>
    </xf>
    <xf numFmtId="0" fontId="2" fillId="9" borderId="1" pivotButton="0" quotePrefix="0" xfId="0"/>
    <xf numFmtId="0" fontId="8" fillId="9" borderId="1" applyAlignment="1" pivotButton="0" quotePrefix="0" xfId="0">
      <alignment horizontal="center" vertical="center"/>
    </xf>
    <xf numFmtId="0" fontId="2" fillId="10" borderId="1" pivotButton="0" quotePrefix="0" xfId="0"/>
    <xf numFmtId="0" fontId="9" fillId="1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10" fillId="5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EF9A9A"/>
        </patternFill>
      </fill>
    </dxf>
    <dxf>
      <fill>
        <patternFill patternType="solid">
          <fgColor rgb="00EF5350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A825"/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Employee Scheduling Tool - README</t>
        </is>
      </c>
    </row>
    <row r="2">
      <c r="A2" s="2" t="inlineStr"/>
    </row>
    <row r="3">
      <c r="A3" s="3" t="inlineStr">
        <is>
          <t>OVERVIEW</t>
        </is>
      </c>
    </row>
    <row r="4">
      <c r="A4" s="2" t="inlineStr">
        <is>
          <t xml:space="preserve">  Plans weekly shifts for a business open 7 days/week in 30-minute blocks. You provide employees, operating hours, parameters, and each person's unavailability; the solver fills Schedule and writes Summary.</t>
        </is>
      </c>
    </row>
    <row r="5">
      <c r="A5" s="2" t="inlineStr"/>
    </row>
    <row r="6">
      <c r="A6" s="3" t="inlineStr">
        <is>
          <t>SHEETS</t>
        </is>
      </c>
    </row>
    <row r="7">
      <c r="A7" s="2" t="inlineStr">
        <is>
          <t xml:space="preserve">  - Inputs         roster, operating hours, tunable parameters.</t>
        </is>
      </c>
    </row>
    <row r="8">
      <c r="A8" s="2" t="inlineStr">
        <is>
          <t xml:space="preserve">  - Unavailability employees x blocks; mark "X" where unavailable.</t>
        </is>
      </c>
    </row>
    <row r="9">
      <c r="A9" s="2" t="inlineStr">
        <is>
          <t xml:space="preserve">  - Schedule       auto-filled, color-coded per employee.</t>
        </is>
      </c>
    </row>
    <row r="10">
      <c r="A10" s="2" t="inlineStr">
        <is>
          <t xml:space="preserve">  - Summary        paid hours/days/shift lengths, coverage, feasibility.</t>
        </is>
      </c>
    </row>
    <row r="11">
      <c r="A11" s="2" t="inlineStr"/>
    </row>
    <row r="12">
      <c r="A12" s="3" t="inlineStr">
        <is>
          <t>SET OPERATING HOURS</t>
        </is>
      </c>
    </row>
    <row r="13">
      <c r="A13" s="2" t="inlineStr">
        <is>
          <t xml:space="preserve">  On Inputs, edit Open/Close per day. Blocks regenerate from these times and SHIFT_BLOCK_MINUTES.</t>
        </is>
      </c>
    </row>
    <row r="14">
      <c r="A14" s="2" t="inlineStr"/>
    </row>
    <row r="15">
      <c r="A15" s="3" t="inlineStr">
        <is>
          <t>MARK UNAVAILABILITY</t>
        </is>
      </c>
    </row>
    <row r="16">
      <c r="A16" s="2" t="inlineStr">
        <is>
          <t xml:space="preserve">  On Unavailability, type "X" in any block a person cannot work; blank means available. Cells accept only blank or X; X is shaded red.</t>
        </is>
      </c>
    </row>
    <row r="17">
      <c r="A17" s="2" t="inlineStr"/>
    </row>
    <row r="18">
      <c r="A18" s="2" t="inlineStr">
        <is>
          <t>TUNE PARAMETERS (Inputs)</t>
        </is>
      </c>
    </row>
    <row r="19">
      <c r="A19" s="2" t="inlineStr">
        <is>
          <t xml:space="preserve">  WEEKDAY_STAFF / WEEKEND_STAFF  staff required per block.</t>
        </is>
      </c>
    </row>
    <row r="20">
      <c r="A20" s="2" t="inlineStr">
        <is>
          <t xml:space="preserve">  TARGET_MIN_WEEKLY / TARGET_MAX_WEEKLY  paid-hour band per person.</t>
        </is>
      </c>
    </row>
    <row r="21">
      <c r="A21" s="2" t="inlineStr">
        <is>
          <t xml:space="preserve">  MAX_HOURS_PER_DAY  daily paid-hour cap.</t>
        </is>
      </c>
    </row>
    <row r="22">
      <c r="A22" s="2" t="inlineStr">
        <is>
          <t xml:space="preserve">  SHIFT_BLOCK_MINUTES  block granularity (default 30).</t>
        </is>
      </c>
    </row>
    <row r="23">
      <c r="A23" s="2" t="inlineStr">
        <is>
          <t xml:space="preserve">  MEAL_BREAK_MIN  unpaid meal length (excluded from paid hours).</t>
        </is>
      </c>
    </row>
    <row r="24">
      <c r="A24" s="2" t="inlineStr">
        <is>
          <t xml:space="preserve">  REST_BREAK_MIN  paid rest length (counted as work).</t>
        </is>
      </c>
    </row>
    <row r="25">
      <c r="A25" s="2" t="inlineStr">
        <is>
          <t xml:space="preserve">  Summary flags reference these cells, so nothing is hardcoded.</t>
        </is>
      </c>
    </row>
    <row r="26">
      <c r="A26" s="2" t="inlineStr"/>
    </row>
    <row r="27">
      <c r="A27" s="3" t="inlineStr">
        <is>
          <t>HOW BREAKS AFFECT PAID TIME</t>
        </is>
      </c>
    </row>
    <row r="28">
      <c r="A28" s="2" t="inlineStr">
        <is>
          <t xml:space="preserve">  Meal (M): shifts longer than 5.0 hrs get one unpaid meal near the middle. It is OFF the clock - excluded from paid hours and it provides NO coverage (a gap may appear unless a co-worker overlaps).</t>
        </is>
      </c>
    </row>
    <row r="29">
      <c r="A29" s="2" t="inlineStr">
        <is>
          <t xml:space="preserve">  Rest (R): one paid 10-min rest per 4 hrs worked (or major fraction). Rest counts as work time and covers its block.</t>
        </is>
      </c>
    </row>
    <row r="30">
      <c r="A30" s="2" t="inlineStr">
        <is>
          <t xml:space="preserve">  Paid hours = (work blocks + rest blocks) x block hours; meal excluded.</t>
        </is>
      </c>
    </row>
    <row r="31">
      <c r="A31" s="2" t="inlineStr"/>
    </row>
    <row r="32">
      <c r="A32" s="3" t="inlineStr">
        <is>
          <t>RE-RUN</t>
        </is>
      </c>
    </row>
    <row r="33">
      <c r="A33" s="2" t="inlineStr">
        <is>
          <t xml:space="preserve">  Save edits in Excel, then run:</t>
        </is>
      </c>
    </row>
    <row r="34">
      <c r="A34" s="2" t="inlineStr">
        <is>
          <t xml:space="preserve">        python schedule_tool.py            (re-solve existing file)</t>
        </is>
      </c>
    </row>
    <row r="35">
      <c r="A35" s="2" t="inlineStr">
        <is>
          <t xml:space="preserve">        python schedule_tool.py --reset    (rebuild sample data)</t>
        </is>
      </c>
    </row>
    <row r="36">
      <c r="A36" s="2" t="inlineStr">
        <is>
          <t xml:space="preserve">  The script reads Inputs + Unavailability and overwrites Schedule + Summary with fresh static values, and prints a feasibility report and anyone who cannot be fully scheduled.</t>
        </is>
      </c>
    </row>
    <row r="37">
      <c r="A37" s="2" t="inlineStr"/>
    </row>
    <row r="38">
      <c r="A38" s="3" t="inlineStr">
        <is>
          <t>CONSTRAINTS ENFORCED</t>
        </is>
      </c>
    </row>
    <row r="39">
      <c r="A39" s="2" t="inlineStr">
        <is>
          <t xml:space="preserve">  1. Never scheduled in an "X" block.</t>
        </is>
      </c>
    </row>
    <row r="40">
      <c r="A40" s="2" t="inlineStr">
        <is>
          <t xml:space="preserve">  2. Daily paid hours &lt;= MAX_HOURS_PER_DAY.</t>
        </is>
      </c>
    </row>
    <row r="41">
      <c r="A41" s="2" t="inlineStr">
        <is>
          <t xml:space="preserve">  3. Weekly paid hours within TARGET_MIN..TARGET_MAX when feasible.</t>
        </is>
      </c>
    </row>
    <row r="42">
      <c r="A42" s="2" t="inlineStr">
        <is>
          <t xml:space="preserve">  4. One contiguous shift per day (no split shifts).</t>
        </is>
      </c>
    </row>
    <row r="43">
      <c r="A43" s="2" t="inlineStr">
        <is>
          <t xml:space="preserve">  5. Each block staffed to the required count where availability allows.</t>
        </is>
      </c>
    </row>
    <row r="44">
      <c r="A44" s="2" t="inlineStr">
        <is>
          <t xml:space="preserve">  6. Meal excluded from paid hours; rest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Employee Scheduling - Inputs</t>
        </is>
      </c>
    </row>
    <row r="3">
      <c r="A3" s="4" t="inlineStr">
        <is>
          <t>Employees</t>
        </is>
      </c>
    </row>
    <row r="4">
      <c r="A4" s="5" t="inlineStr">
        <is>
          <t>Name</t>
        </is>
      </c>
    </row>
    <row r="5">
      <c r="A5" s="6" t="inlineStr">
        <is>
          <t>Alex</t>
        </is>
      </c>
    </row>
    <row r="6">
      <c r="A6" s="6" t="inlineStr">
        <is>
          <t>Bina</t>
        </is>
      </c>
    </row>
    <row r="7">
      <c r="A7" s="6" t="inlineStr">
        <is>
          <t>Cleo</t>
        </is>
      </c>
    </row>
    <row r="8">
      <c r="A8" s="6" t="inlineStr">
        <is>
          <t>Dario</t>
        </is>
      </c>
    </row>
    <row r="9">
      <c r="A9" s="6" t="inlineStr"/>
    </row>
    <row r="10">
      <c r="A10" s="6" t="inlineStr"/>
    </row>
    <row r="11">
      <c r="A11" s="6" t="inlineStr"/>
    </row>
    <row r="12">
      <c r="A12" s="6" t="inlineStr"/>
    </row>
    <row r="14">
      <c r="A14" s="4" t="inlineStr">
        <is>
          <t>Operating hours</t>
        </is>
      </c>
    </row>
    <row r="15">
      <c r="A15" s="5" t="inlineStr">
        <is>
          <t>Day</t>
        </is>
      </c>
      <c r="B15" s="5" t="inlineStr">
        <is>
          <t>Open</t>
        </is>
      </c>
      <c r="C15" s="5" t="inlineStr">
        <is>
          <t>Close</t>
        </is>
      </c>
    </row>
    <row r="16">
      <c r="A16" s="6" t="inlineStr">
        <is>
          <t>Mon</t>
        </is>
      </c>
      <c r="B16" s="7" t="n">
        <v>0.2916666666666667</v>
      </c>
      <c r="C16" s="7" t="n">
        <v>0.9583333333333334</v>
      </c>
    </row>
    <row r="17">
      <c r="A17" s="6" t="inlineStr">
        <is>
          <t>Tue</t>
        </is>
      </c>
      <c r="B17" s="7" t="n">
        <v>0.2916666666666667</v>
      </c>
      <c r="C17" s="7" t="n">
        <v>0.9583333333333334</v>
      </c>
    </row>
    <row r="18">
      <c r="A18" s="6" t="inlineStr">
        <is>
          <t>Wed</t>
        </is>
      </c>
      <c r="B18" s="7" t="n">
        <v>0.2916666666666667</v>
      </c>
      <c r="C18" s="7" t="n">
        <v>0.9583333333333334</v>
      </c>
    </row>
    <row r="19">
      <c r="A19" s="6" t="inlineStr">
        <is>
          <t>Thu</t>
        </is>
      </c>
      <c r="B19" s="7" t="n">
        <v>0.2916666666666667</v>
      </c>
      <c r="C19" s="7" t="n">
        <v>0.9583333333333334</v>
      </c>
    </row>
    <row r="20">
      <c r="A20" s="6" t="inlineStr">
        <is>
          <t>Fri</t>
        </is>
      </c>
      <c r="B20" s="7" t="n">
        <v>0.2916666666666667</v>
      </c>
      <c r="C20" s="7" t="n">
        <v>0.9583333333333334</v>
      </c>
    </row>
    <row r="21">
      <c r="A21" s="6" t="inlineStr">
        <is>
          <t>Sat</t>
        </is>
      </c>
      <c r="B21" s="7" t="n">
        <v>0.2916666666666667</v>
      </c>
      <c r="C21" s="7" t="n">
        <v>0.9583333333333334</v>
      </c>
    </row>
    <row r="22">
      <c r="A22" s="6" t="inlineStr">
        <is>
          <t>Sun</t>
        </is>
      </c>
      <c r="B22" s="7" t="n">
        <v>0.2916666666666667</v>
      </c>
      <c r="C22" s="7" t="n">
        <v>0.9583333333333334</v>
      </c>
    </row>
    <row r="24">
      <c r="A24" s="4" t="inlineStr">
        <is>
          <t>Parameters</t>
        </is>
      </c>
    </row>
    <row r="25">
      <c r="A25" s="5" t="inlineStr">
        <is>
          <t>Parameter</t>
        </is>
      </c>
      <c r="B25" s="5" t="inlineStr">
        <is>
          <t>Value</t>
        </is>
      </c>
    </row>
    <row r="26">
      <c r="A26" s="6" t="inlineStr">
        <is>
          <t>WEEKDAY_STAFF</t>
        </is>
      </c>
      <c r="B26" s="8" t="n">
        <v>2</v>
      </c>
    </row>
    <row r="27">
      <c r="A27" s="6" t="inlineStr">
        <is>
          <t>WEEKEND_STAFF</t>
        </is>
      </c>
      <c r="B27" s="8" t="n">
        <v>2</v>
      </c>
    </row>
    <row r="28">
      <c r="A28" s="6" t="inlineStr">
        <is>
          <t>TARGET_MIN_WEEKLY</t>
        </is>
      </c>
      <c r="B28" s="8" t="n">
        <v>30</v>
      </c>
    </row>
    <row r="29">
      <c r="A29" s="6" t="inlineStr">
        <is>
          <t>TARGET_MAX_WEEKLY</t>
        </is>
      </c>
      <c r="B29" s="8" t="n">
        <v>35</v>
      </c>
    </row>
    <row r="30">
      <c r="A30" s="6" t="inlineStr">
        <is>
          <t>MAX_HOURS_PER_DAY</t>
        </is>
      </c>
      <c r="B30" s="8" t="n">
        <v>8</v>
      </c>
    </row>
    <row r="31">
      <c r="A31" s="6" t="inlineStr">
        <is>
          <t>SHIFT_BLOCK_MINUTES</t>
        </is>
      </c>
      <c r="B31" s="8" t="n">
        <v>30</v>
      </c>
    </row>
    <row r="32">
      <c r="A32" s="6" t="inlineStr">
        <is>
          <t>MEAL_BREAK_MIN</t>
        </is>
      </c>
      <c r="B32" s="8" t="n">
        <v>30</v>
      </c>
    </row>
    <row r="33">
      <c r="A33" s="6" t="inlineStr">
        <is>
          <t>REST_BREAK_MIN</t>
        </is>
      </c>
      <c r="B33" s="8" t="n">
        <v>10</v>
      </c>
    </row>
    <row r="35">
      <c r="A35" s="9" t="inlineStr">
        <is>
          <t>Edit any value above, then re-run schedule_tool.py to refresh the Schedule and Summary sheets. Meal breaks are unpaid (excluded from paid hours); rest breaks are paid (counted as work).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/>
  </sheetPr>
  <dimension ref="A1:HQ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  <col width="4.5" customWidth="1" min="111" max="111"/>
    <col width="4.5" customWidth="1" min="112" max="112"/>
    <col width="4.5" customWidth="1" min="113" max="113"/>
    <col width="4.5" customWidth="1" min="114" max="114"/>
    <col width="4.5" customWidth="1" min="115" max="115"/>
    <col width="4.5" customWidth="1" min="116" max="116"/>
    <col width="4.5" customWidth="1" min="117" max="117"/>
    <col width="4.5" customWidth="1" min="118" max="118"/>
    <col width="4.5" customWidth="1" min="119" max="119"/>
    <col width="4.5" customWidth="1" min="120" max="120"/>
    <col width="4.5" customWidth="1" min="121" max="121"/>
    <col width="4.5" customWidth="1" min="122" max="122"/>
    <col width="4.5" customWidth="1" min="123" max="123"/>
    <col width="4.5" customWidth="1" min="124" max="124"/>
    <col width="4.5" customWidth="1" min="125" max="125"/>
    <col width="4.5" customWidth="1" min="126" max="126"/>
    <col width="4.5" customWidth="1" min="127" max="127"/>
    <col width="4.5" customWidth="1" min="128" max="128"/>
    <col width="4.5" customWidth="1" min="129" max="129"/>
    <col width="4.5" customWidth="1" min="130" max="130"/>
    <col width="4.5" customWidth="1" min="131" max="131"/>
    <col width="4.5" customWidth="1" min="132" max="132"/>
    <col width="4.5" customWidth="1" min="133" max="133"/>
    <col width="4.5" customWidth="1" min="134" max="134"/>
    <col width="4.5" customWidth="1" min="135" max="135"/>
    <col width="4.5" customWidth="1" min="136" max="136"/>
    <col width="4.5" customWidth="1" min="137" max="137"/>
    <col width="4.5" customWidth="1" min="138" max="138"/>
    <col width="4.5" customWidth="1" min="139" max="139"/>
    <col width="4.5" customWidth="1" min="140" max="140"/>
    <col width="4.5" customWidth="1" min="141" max="141"/>
    <col width="4.5" customWidth="1" min="142" max="142"/>
    <col width="4.5" customWidth="1" min="143" max="143"/>
    <col width="4.5" customWidth="1" min="144" max="144"/>
    <col width="4.5" customWidth="1" min="145" max="145"/>
    <col width="4.5" customWidth="1" min="146" max="146"/>
    <col width="4.5" customWidth="1" min="147" max="147"/>
    <col width="4.5" customWidth="1" min="148" max="148"/>
    <col width="4.5" customWidth="1" min="149" max="149"/>
    <col width="4.5" customWidth="1" min="150" max="150"/>
    <col width="4.5" customWidth="1" min="151" max="151"/>
    <col width="4.5" customWidth="1" min="152" max="152"/>
    <col width="4.5" customWidth="1" min="153" max="153"/>
    <col width="4.5" customWidth="1" min="154" max="154"/>
    <col width="4.5" customWidth="1" min="155" max="155"/>
    <col width="4.5" customWidth="1" min="156" max="156"/>
    <col width="4.5" customWidth="1" min="157" max="157"/>
    <col width="4.5" customWidth="1" min="158" max="158"/>
    <col width="4.5" customWidth="1" min="159" max="159"/>
    <col width="4.5" customWidth="1" min="160" max="160"/>
    <col width="4.5" customWidth="1" min="161" max="161"/>
    <col width="4.5" customWidth="1" min="162" max="162"/>
    <col width="4.5" customWidth="1" min="163" max="163"/>
    <col width="4.5" customWidth="1" min="164" max="164"/>
    <col width="4.5" customWidth="1" min="165" max="165"/>
    <col width="4.5" customWidth="1" min="166" max="166"/>
    <col width="4.5" customWidth="1" min="167" max="167"/>
    <col width="4.5" customWidth="1" min="168" max="168"/>
    <col width="4.5" customWidth="1" min="169" max="169"/>
    <col width="4.5" customWidth="1" min="170" max="170"/>
    <col width="4.5" customWidth="1" min="171" max="171"/>
    <col width="4.5" customWidth="1" min="172" max="172"/>
    <col width="4.5" customWidth="1" min="173" max="173"/>
    <col width="4.5" customWidth="1" min="174" max="174"/>
    <col width="4.5" customWidth="1" min="175" max="175"/>
    <col width="4.5" customWidth="1" min="176" max="176"/>
    <col width="4.5" customWidth="1" min="177" max="177"/>
    <col width="4.5" customWidth="1" min="178" max="178"/>
    <col width="4.5" customWidth="1" min="179" max="179"/>
    <col width="4.5" customWidth="1" min="180" max="180"/>
    <col width="4.5" customWidth="1" min="181" max="181"/>
    <col width="4.5" customWidth="1" min="182" max="182"/>
    <col width="4.5" customWidth="1" min="183" max="183"/>
    <col width="4.5" customWidth="1" min="184" max="184"/>
    <col width="4.5" customWidth="1" min="185" max="185"/>
    <col width="4.5" customWidth="1" min="186" max="186"/>
    <col width="4.5" customWidth="1" min="187" max="187"/>
    <col width="4.5" customWidth="1" min="188" max="188"/>
    <col width="4.5" customWidth="1" min="189" max="189"/>
    <col width="4.5" customWidth="1" min="190" max="190"/>
    <col width="4.5" customWidth="1" min="191" max="191"/>
    <col width="4.5" customWidth="1" min="192" max="192"/>
    <col width="4.5" customWidth="1" min="193" max="193"/>
    <col width="4.5" customWidth="1" min="194" max="194"/>
    <col width="4.5" customWidth="1" min="195" max="195"/>
    <col width="4.5" customWidth="1" min="196" max="196"/>
    <col width="4.5" customWidth="1" min="197" max="197"/>
    <col width="4.5" customWidth="1" min="198" max="198"/>
    <col width="4.5" customWidth="1" min="199" max="199"/>
    <col width="4.5" customWidth="1" min="200" max="200"/>
    <col width="4.5" customWidth="1" min="201" max="201"/>
    <col width="4.5" customWidth="1" min="202" max="202"/>
    <col width="4.5" customWidth="1" min="203" max="203"/>
    <col width="4.5" customWidth="1" min="204" max="204"/>
    <col width="4.5" customWidth="1" min="205" max="205"/>
    <col width="4.5" customWidth="1" min="206" max="206"/>
    <col width="4.5" customWidth="1" min="207" max="207"/>
    <col width="4.5" customWidth="1" min="208" max="208"/>
    <col width="4.5" customWidth="1" min="209" max="209"/>
    <col width="4.5" customWidth="1" min="210" max="210"/>
    <col width="4.5" customWidth="1" min="211" max="211"/>
    <col width="4.5" customWidth="1" min="212" max="212"/>
    <col width="4.5" customWidth="1" min="213" max="213"/>
    <col width="4.5" customWidth="1" min="214" max="214"/>
    <col width="4.5" customWidth="1" min="215" max="215"/>
    <col width="4.5" customWidth="1" min="216" max="216"/>
    <col width="4.5" customWidth="1" min="217" max="217"/>
    <col width="4.5" customWidth="1" min="218" max="218"/>
    <col width="4.5" customWidth="1" min="219" max="219"/>
    <col width="4.5" customWidth="1" min="220" max="220"/>
    <col width="4.5" customWidth="1" min="221" max="221"/>
    <col width="4.5" customWidth="1" min="222" max="222"/>
    <col width="4.5" customWidth="1" min="223" max="223"/>
    <col width="4.5" customWidth="1" min="224" max="224"/>
    <col width="4.5" customWidth="1" min="225" max="225"/>
  </cols>
  <sheetData>
    <row r="1">
      <c r="A1" s="10" t="inlineStr">
        <is>
          <t>Unavailability</t>
        </is>
      </c>
      <c r="B1" s="10" t="inlineStr">
        <is>
          <t>Mon</t>
        </is>
      </c>
      <c r="AH1" s="10" t="inlineStr">
        <is>
          <t>Tue</t>
        </is>
      </c>
      <c r="BN1" s="10" t="inlineStr">
        <is>
          <t>Wed</t>
        </is>
      </c>
      <c r="CT1" s="10" t="inlineStr">
        <is>
          <t>Thu</t>
        </is>
      </c>
      <c r="DZ1" s="10" t="inlineStr">
        <is>
          <t>Fri</t>
        </is>
      </c>
      <c r="FF1" s="10" t="inlineStr">
        <is>
          <t>Sat</t>
        </is>
      </c>
      <c r="GL1" s="10" t="inlineStr">
        <is>
          <t>Sun</t>
        </is>
      </c>
    </row>
    <row r="2">
      <c r="A2" s="10" t="inlineStr">
        <is>
          <t>Employee \ Block</t>
        </is>
      </c>
      <c r="B2" s="5" t="inlineStr">
        <is>
          <t>7a</t>
        </is>
      </c>
      <c r="C2" s="5" t="inlineStr">
        <is>
          <t>7:30a</t>
        </is>
      </c>
      <c r="D2" s="5" t="inlineStr">
        <is>
          <t>8a</t>
        </is>
      </c>
      <c r="E2" s="5" t="inlineStr">
        <is>
          <t>8:30a</t>
        </is>
      </c>
      <c r="F2" s="5" t="inlineStr">
        <is>
          <t>9a</t>
        </is>
      </c>
      <c r="G2" s="5" t="inlineStr">
        <is>
          <t>9:30a</t>
        </is>
      </c>
      <c r="H2" s="5" t="inlineStr">
        <is>
          <t>10a</t>
        </is>
      </c>
      <c r="I2" s="5" t="inlineStr">
        <is>
          <t>10:30a</t>
        </is>
      </c>
      <c r="J2" s="5" t="inlineStr">
        <is>
          <t>11a</t>
        </is>
      </c>
      <c r="K2" s="5" t="inlineStr">
        <is>
          <t>11:30a</t>
        </is>
      </c>
      <c r="L2" s="5" t="inlineStr">
        <is>
          <t>12p</t>
        </is>
      </c>
      <c r="M2" s="5" t="inlineStr">
        <is>
          <t>12:30p</t>
        </is>
      </c>
      <c r="N2" s="5" t="inlineStr">
        <is>
          <t>1p</t>
        </is>
      </c>
      <c r="O2" s="5" t="inlineStr">
        <is>
          <t>1:30p</t>
        </is>
      </c>
      <c r="P2" s="5" t="inlineStr">
        <is>
          <t>2p</t>
        </is>
      </c>
      <c r="Q2" s="5" t="inlineStr">
        <is>
          <t>2:30p</t>
        </is>
      </c>
      <c r="R2" s="5" t="inlineStr">
        <is>
          <t>3p</t>
        </is>
      </c>
      <c r="S2" s="5" t="inlineStr">
        <is>
          <t>3:30p</t>
        </is>
      </c>
      <c r="T2" s="5" t="inlineStr">
        <is>
          <t>4p</t>
        </is>
      </c>
      <c r="U2" s="5" t="inlineStr">
        <is>
          <t>4:30p</t>
        </is>
      </c>
      <c r="V2" s="5" t="inlineStr">
        <is>
          <t>5p</t>
        </is>
      </c>
      <c r="W2" s="5" t="inlineStr">
        <is>
          <t>5:30p</t>
        </is>
      </c>
      <c r="X2" s="5" t="inlineStr">
        <is>
          <t>6p</t>
        </is>
      </c>
      <c r="Y2" s="5" t="inlineStr">
        <is>
          <t>6:30p</t>
        </is>
      </c>
      <c r="Z2" s="5" t="inlineStr">
        <is>
          <t>7p</t>
        </is>
      </c>
      <c r="AA2" s="5" t="inlineStr">
        <is>
          <t>7:30p</t>
        </is>
      </c>
      <c r="AB2" s="5" t="inlineStr">
        <is>
          <t>8p</t>
        </is>
      </c>
      <c r="AC2" s="5" t="inlineStr">
        <is>
          <t>8:30p</t>
        </is>
      </c>
      <c r="AD2" s="5" t="inlineStr">
        <is>
          <t>9p</t>
        </is>
      </c>
      <c r="AE2" s="5" t="inlineStr">
        <is>
          <t>9:30p</t>
        </is>
      </c>
      <c r="AF2" s="5" t="inlineStr">
        <is>
          <t>10p</t>
        </is>
      </c>
      <c r="AG2" s="5" t="inlineStr">
        <is>
          <t>10:30p</t>
        </is>
      </c>
      <c r="AH2" s="5" t="inlineStr">
        <is>
          <t>7a</t>
        </is>
      </c>
      <c r="AI2" s="5" t="inlineStr">
        <is>
          <t>7:30a</t>
        </is>
      </c>
      <c r="AJ2" s="5" t="inlineStr">
        <is>
          <t>8a</t>
        </is>
      </c>
      <c r="AK2" s="5" t="inlineStr">
        <is>
          <t>8:30a</t>
        </is>
      </c>
      <c r="AL2" s="5" t="inlineStr">
        <is>
          <t>9a</t>
        </is>
      </c>
      <c r="AM2" s="5" t="inlineStr">
        <is>
          <t>9:30a</t>
        </is>
      </c>
      <c r="AN2" s="5" t="inlineStr">
        <is>
          <t>10a</t>
        </is>
      </c>
      <c r="AO2" s="5" t="inlineStr">
        <is>
          <t>10:30a</t>
        </is>
      </c>
      <c r="AP2" s="5" t="inlineStr">
        <is>
          <t>11a</t>
        </is>
      </c>
      <c r="AQ2" s="5" t="inlineStr">
        <is>
          <t>11:30a</t>
        </is>
      </c>
      <c r="AR2" s="5" t="inlineStr">
        <is>
          <t>12p</t>
        </is>
      </c>
      <c r="AS2" s="5" t="inlineStr">
        <is>
          <t>12:30p</t>
        </is>
      </c>
      <c r="AT2" s="5" t="inlineStr">
        <is>
          <t>1p</t>
        </is>
      </c>
      <c r="AU2" s="5" t="inlineStr">
        <is>
          <t>1:30p</t>
        </is>
      </c>
      <c r="AV2" s="5" t="inlineStr">
        <is>
          <t>2p</t>
        </is>
      </c>
      <c r="AW2" s="5" t="inlineStr">
        <is>
          <t>2:30p</t>
        </is>
      </c>
      <c r="AX2" s="5" t="inlineStr">
        <is>
          <t>3p</t>
        </is>
      </c>
      <c r="AY2" s="5" t="inlineStr">
        <is>
          <t>3:30p</t>
        </is>
      </c>
      <c r="AZ2" s="5" t="inlineStr">
        <is>
          <t>4p</t>
        </is>
      </c>
      <c r="BA2" s="5" t="inlineStr">
        <is>
          <t>4:30p</t>
        </is>
      </c>
      <c r="BB2" s="5" t="inlineStr">
        <is>
          <t>5p</t>
        </is>
      </c>
      <c r="BC2" s="5" t="inlineStr">
        <is>
          <t>5:30p</t>
        </is>
      </c>
      <c r="BD2" s="5" t="inlineStr">
        <is>
          <t>6p</t>
        </is>
      </c>
      <c r="BE2" s="5" t="inlineStr">
        <is>
          <t>6:30p</t>
        </is>
      </c>
      <c r="BF2" s="5" t="inlineStr">
        <is>
          <t>7p</t>
        </is>
      </c>
      <c r="BG2" s="5" t="inlineStr">
        <is>
          <t>7:30p</t>
        </is>
      </c>
      <c r="BH2" s="5" t="inlineStr">
        <is>
          <t>8p</t>
        </is>
      </c>
      <c r="BI2" s="5" t="inlineStr">
        <is>
          <t>8:30p</t>
        </is>
      </c>
      <c r="BJ2" s="5" t="inlineStr">
        <is>
          <t>9p</t>
        </is>
      </c>
      <c r="BK2" s="5" t="inlineStr">
        <is>
          <t>9:30p</t>
        </is>
      </c>
      <c r="BL2" s="5" t="inlineStr">
        <is>
          <t>10p</t>
        </is>
      </c>
      <c r="BM2" s="5" t="inlineStr">
        <is>
          <t>10:30p</t>
        </is>
      </c>
      <c r="BN2" s="5" t="inlineStr">
        <is>
          <t>7a</t>
        </is>
      </c>
      <c r="BO2" s="5" t="inlineStr">
        <is>
          <t>7:30a</t>
        </is>
      </c>
      <c r="BP2" s="5" t="inlineStr">
        <is>
          <t>8a</t>
        </is>
      </c>
      <c r="BQ2" s="5" t="inlineStr">
        <is>
          <t>8:30a</t>
        </is>
      </c>
      <c r="BR2" s="5" t="inlineStr">
        <is>
          <t>9a</t>
        </is>
      </c>
      <c r="BS2" s="5" t="inlineStr">
        <is>
          <t>9:30a</t>
        </is>
      </c>
      <c r="BT2" s="5" t="inlineStr">
        <is>
          <t>10a</t>
        </is>
      </c>
      <c r="BU2" s="5" t="inlineStr">
        <is>
          <t>10:30a</t>
        </is>
      </c>
      <c r="BV2" s="5" t="inlineStr">
        <is>
          <t>11a</t>
        </is>
      </c>
      <c r="BW2" s="5" t="inlineStr">
        <is>
          <t>11:30a</t>
        </is>
      </c>
      <c r="BX2" s="5" t="inlineStr">
        <is>
          <t>12p</t>
        </is>
      </c>
      <c r="BY2" s="5" t="inlineStr">
        <is>
          <t>12:30p</t>
        </is>
      </c>
      <c r="BZ2" s="5" t="inlineStr">
        <is>
          <t>1p</t>
        </is>
      </c>
      <c r="CA2" s="5" t="inlineStr">
        <is>
          <t>1:30p</t>
        </is>
      </c>
      <c r="CB2" s="5" t="inlineStr">
        <is>
          <t>2p</t>
        </is>
      </c>
      <c r="CC2" s="5" t="inlineStr">
        <is>
          <t>2:30p</t>
        </is>
      </c>
      <c r="CD2" s="5" t="inlineStr">
        <is>
          <t>3p</t>
        </is>
      </c>
      <c r="CE2" s="5" t="inlineStr">
        <is>
          <t>3:30p</t>
        </is>
      </c>
      <c r="CF2" s="5" t="inlineStr">
        <is>
          <t>4p</t>
        </is>
      </c>
      <c r="CG2" s="5" t="inlineStr">
        <is>
          <t>4:30p</t>
        </is>
      </c>
      <c r="CH2" s="5" t="inlineStr">
        <is>
          <t>5p</t>
        </is>
      </c>
      <c r="CI2" s="5" t="inlineStr">
        <is>
          <t>5:30p</t>
        </is>
      </c>
      <c r="CJ2" s="5" t="inlineStr">
        <is>
          <t>6p</t>
        </is>
      </c>
      <c r="CK2" s="5" t="inlineStr">
        <is>
          <t>6:30p</t>
        </is>
      </c>
      <c r="CL2" s="5" t="inlineStr">
        <is>
          <t>7p</t>
        </is>
      </c>
      <c r="CM2" s="5" t="inlineStr">
        <is>
          <t>7:30p</t>
        </is>
      </c>
      <c r="CN2" s="5" t="inlineStr">
        <is>
          <t>8p</t>
        </is>
      </c>
      <c r="CO2" s="5" t="inlineStr">
        <is>
          <t>8:30p</t>
        </is>
      </c>
      <c r="CP2" s="5" t="inlineStr">
        <is>
          <t>9p</t>
        </is>
      </c>
      <c r="CQ2" s="5" t="inlineStr">
        <is>
          <t>9:30p</t>
        </is>
      </c>
      <c r="CR2" s="5" t="inlineStr">
        <is>
          <t>10p</t>
        </is>
      </c>
      <c r="CS2" s="5" t="inlineStr">
        <is>
          <t>10:30p</t>
        </is>
      </c>
      <c r="CT2" s="5" t="inlineStr">
        <is>
          <t>7a</t>
        </is>
      </c>
      <c r="CU2" s="5" t="inlineStr">
        <is>
          <t>7:30a</t>
        </is>
      </c>
      <c r="CV2" s="5" t="inlineStr">
        <is>
          <t>8a</t>
        </is>
      </c>
      <c r="CW2" s="5" t="inlineStr">
        <is>
          <t>8:30a</t>
        </is>
      </c>
      <c r="CX2" s="5" t="inlineStr">
        <is>
          <t>9a</t>
        </is>
      </c>
      <c r="CY2" s="5" t="inlineStr">
        <is>
          <t>9:30a</t>
        </is>
      </c>
      <c r="CZ2" s="5" t="inlineStr">
        <is>
          <t>10a</t>
        </is>
      </c>
      <c r="DA2" s="5" t="inlineStr">
        <is>
          <t>10:30a</t>
        </is>
      </c>
      <c r="DB2" s="5" t="inlineStr">
        <is>
          <t>11a</t>
        </is>
      </c>
      <c r="DC2" s="5" t="inlineStr">
        <is>
          <t>11:30a</t>
        </is>
      </c>
      <c r="DD2" s="5" t="inlineStr">
        <is>
          <t>12p</t>
        </is>
      </c>
      <c r="DE2" s="5" t="inlineStr">
        <is>
          <t>12:30p</t>
        </is>
      </c>
      <c r="DF2" s="5" t="inlineStr">
        <is>
          <t>1p</t>
        </is>
      </c>
      <c r="DG2" s="5" t="inlineStr">
        <is>
          <t>1:30p</t>
        </is>
      </c>
      <c r="DH2" s="5" t="inlineStr">
        <is>
          <t>2p</t>
        </is>
      </c>
      <c r="DI2" s="5" t="inlineStr">
        <is>
          <t>2:30p</t>
        </is>
      </c>
      <c r="DJ2" s="5" t="inlineStr">
        <is>
          <t>3p</t>
        </is>
      </c>
      <c r="DK2" s="5" t="inlineStr">
        <is>
          <t>3:30p</t>
        </is>
      </c>
      <c r="DL2" s="5" t="inlineStr">
        <is>
          <t>4p</t>
        </is>
      </c>
      <c r="DM2" s="5" t="inlineStr">
        <is>
          <t>4:30p</t>
        </is>
      </c>
      <c r="DN2" s="5" t="inlineStr">
        <is>
          <t>5p</t>
        </is>
      </c>
      <c r="DO2" s="5" t="inlineStr">
        <is>
          <t>5:30p</t>
        </is>
      </c>
      <c r="DP2" s="5" t="inlineStr">
        <is>
          <t>6p</t>
        </is>
      </c>
      <c r="DQ2" s="5" t="inlineStr">
        <is>
          <t>6:30p</t>
        </is>
      </c>
      <c r="DR2" s="5" t="inlineStr">
        <is>
          <t>7p</t>
        </is>
      </c>
      <c r="DS2" s="5" t="inlineStr">
        <is>
          <t>7:30p</t>
        </is>
      </c>
      <c r="DT2" s="5" t="inlineStr">
        <is>
          <t>8p</t>
        </is>
      </c>
      <c r="DU2" s="5" t="inlineStr">
        <is>
          <t>8:30p</t>
        </is>
      </c>
      <c r="DV2" s="5" t="inlineStr">
        <is>
          <t>9p</t>
        </is>
      </c>
      <c r="DW2" s="5" t="inlineStr">
        <is>
          <t>9:30p</t>
        </is>
      </c>
      <c r="DX2" s="5" t="inlineStr">
        <is>
          <t>10p</t>
        </is>
      </c>
      <c r="DY2" s="5" t="inlineStr">
        <is>
          <t>10:30p</t>
        </is>
      </c>
      <c r="DZ2" s="5" t="inlineStr">
        <is>
          <t>7a</t>
        </is>
      </c>
      <c r="EA2" s="5" t="inlineStr">
        <is>
          <t>7:30a</t>
        </is>
      </c>
      <c r="EB2" s="5" t="inlineStr">
        <is>
          <t>8a</t>
        </is>
      </c>
      <c r="EC2" s="5" t="inlineStr">
        <is>
          <t>8:30a</t>
        </is>
      </c>
      <c r="ED2" s="5" t="inlineStr">
        <is>
          <t>9a</t>
        </is>
      </c>
      <c r="EE2" s="5" t="inlineStr">
        <is>
          <t>9:30a</t>
        </is>
      </c>
      <c r="EF2" s="5" t="inlineStr">
        <is>
          <t>10a</t>
        </is>
      </c>
      <c r="EG2" s="5" t="inlineStr">
        <is>
          <t>10:30a</t>
        </is>
      </c>
      <c r="EH2" s="5" t="inlineStr">
        <is>
          <t>11a</t>
        </is>
      </c>
      <c r="EI2" s="5" t="inlineStr">
        <is>
          <t>11:30a</t>
        </is>
      </c>
      <c r="EJ2" s="5" t="inlineStr">
        <is>
          <t>12p</t>
        </is>
      </c>
      <c r="EK2" s="5" t="inlineStr">
        <is>
          <t>12:30p</t>
        </is>
      </c>
      <c r="EL2" s="5" t="inlineStr">
        <is>
          <t>1p</t>
        </is>
      </c>
      <c r="EM2" s="5" t="inlineStr">
        <is>
          <t>1:30p</t>
        </is>
      </c>
      <c r="EN2" s="5" t="inlineStr">
        <is>
          <t>2p</t>
        </is>
      </c>
      <c r="EO2" s="5" t="inlineStr">
        <is>
          <t>2:30p</t>
        </is>
      </c>
      <c r="EP2" s="5" t="inlineStr">
        <is>
          <t>3p</t>
        </is>
      </c>
      <c r="EQ2" s="5" t="inlineStr">
        <is>
          <t>3:30p</t>
        </is>
      </c>
      <c r="ER2" s="5" t="inlineStr">
        <is>
          <t>4p</t>
        </is>
      </c>
      <c r="ES2" s="5" t="inlineStr">
        <is>
          <t>4:30p</t>
        </is>
      </c>
      <c r="ET2" s="5" t="inlineStr">
        <is>
          <t>5p</t>
        </is>
      </c>
      <c r="EU2" s="5" t="inlineStr">
        <is>
          <t>5:30p</t>
        </is>
      </c>
      <c r="EV2" s="5" t="inlineStr">
        <is>
          <t>6p</t>
        </is>
      </c>
      <c r="EW2" s="5" t="inlineStr">
        <is>
          <t>6:30p</t>
        </is>
      </c>
      <c r="EX2" s="5" t="inlineStr">
        <is>
          <t>7p</t>
        </is>
      </c>
      <c r="EY2" s="5" t="inlineStr">
        <is>
          <t>7:30p</t>
        </is>
      </c>
      <c r="EZ2" s="5" t="inlineStr">
        <is>
          <t>8p</t>
        </is>
      </c>
      <c r="FA2" s="5" t="inlineStr">
        <is>
          <t>8:30p</t>
        </is>
      </c>
      <c r="FB2" s="5" t="inlineStr">
        <is>
          <t>9p</t>
        </is>
      </c>
      <c r="FC2" s="5" t="inlineStr">
        <is>
          <t>9:30p</t>
        </is>
      </c>
      <c r="FD2" s="5" t="inlineStr">
        <is>
          <t>10p</t>
        </is>
      </c>
      <c r="FE2" s="5" t="inlineStr">
        <is>
          <t>10:30p</t>
        </is>
      </c>
      <c r="FF2" s="5" t="inlineStr">
        <is>
          <t>7a</t>
        </is>
      </c>
      <c r="FG2" s="5" t="inlineStr">
        <is>
          <t>7:30a</t>
        </is>
      </c>
      <c r="FH2" s="5" t="inlineStr">
        <is>
          <t>8a</t>
        </is>
      </c>
      <c r="FI2" s="5" t="inlineStr">
        <is>
          <t>8:30a</t>
        </is>
      </c>
      <c r="FJ2" s="5" t="inlineStr">
        <is>
          <t>9a</t>
        </is>
      </c>
      <c r="FK2" s="5" t="inlineStr">
        <is>
          <t>9:30a</t>
        </is>
      </c>
      <c r="FL2" s="5" t="inlineStr">
        <is>
          <t>10a</t>
        </is>
      </c>
      <c r="FM2" s="5" t="inlineStr">
        <is>
          <t>10:30a</t>
        </is>
      </c>
      <c r="FN2" s="5" t="inlineStr">
        <is>
          <t>11a</t>
        </is>
      </c>
      <c r="FO2" s="5" t="inlineStr">
        <is>
          <t>11:30a</t>
        </is>
      </c>
      <c r="FP2" s="5" t="inlineStr">
        <is>
          <t>12p</t>
        </is>
      </c>
      <c r="FQ2" s="5" t="inlineStr">
        <is>
          <t>12:30p</t>
        </is>
      </c>
      <c r="FR2" s="5" t="inlineStr">
        <is>
          <t>1p</t>
        </is>
      </c>
      <c r="FS2" s="5" t="inlineStr">
        <is>
          <t>1:30p</t>
        </is>
      </c>
      <c r="FT2" s="5" t="inlineStr">
        <is>
          <t>2p</t>
        </is>
      </c>
      <c r="FU2" s="5" t="inlineStr">
        <is>
          <t>2:30p</t>
        </is>
      </c>
      <c r="FV2" s="5" t="inlineStr">
        <is>
          <t>3p</t>
        </is>
      </c>
      <c r="FW2" s="5" t="inlineStr">
        <is>
          <t>3:30p</t>
        </is>
      </c>
      <c r="FX2" s="5" t="inlineStr">
        <is>
          <t>4p</t>
        </is>
      </c>
      <c r="FY2" s="5" t="inlineStr">
        <is>
          <t>4:30p</t>
        </is>
      </c>
      <c r="FZ2" s="5" t="inlineStr">
        <is>
          <t>5p</t>
        </is>
      </c>
      <c r="GA2" s="5" t="inlineStr">
        <is>
          <t>5:30p</t>
        </is>
      </c>
      <c r="GB2" s="5" t="inlineStr">
        <is>
          <t>6p</t>
        </is>
      </c>
      <c r="GC2" s="5" t="inlineStr">
        <is>
          <t>6:30p</t>
        </is>
      </c>
      <c r="GD2" s="5" t="inlineStr">
        <is>
          <t>7p</t>
        </is>
      </c>
      <c r="GE2" s="5" t="inlineStr">
        <is>
          <t>7:30p</t>
        </is>
      </c>
      <c r="GF2" s="5" t="inlineStr">
        <is>
          <t>8p</t>
        </is>
      </c>
      <c r="GG2" s="5" t="inlineStr">
        <is>
          <t>8:30p</t>
        </is>
      </c>
      <c r="GH2" s="5" t="inlineStr">
        <is>
          <t>9p</t>
        </is>
      </c>
      <c r="GI2" s="5" t="inlineStr">
        <is>
          <t>9:30p</t>
        </is>
      </c>
      <c r="GJ2" s="5" t="inlineStr">
        <is>
          <t>10p</t>
        </is>
      </c>
      <c r="GK2" s="5" t="inlineStr">
        <is>
          <t>10:30p</t>
        </is>
      </c>
      <c r="GL2" s="5" t="inlineStr">
        <is>
          <t>7a</t>
        </is>
      </c>
      <c r="GM2" s="5" t="inlineStr">
        <is>
          <t>7:30a</t>
        </is>
      </c>
      <c r="GN2" s="5" t="inlineStr">
        <is>
          <t>8a</t>
        </is>
      </c>
      <c r="GO2" s="5" t="inlineStr">
        <is>
          <t>8:30a</t>
        </is>
      </c>
      <c r="GP2" s="5" t="inlineStr">
        <is>
          <t>9a</t>
        </is>
      </c>
      <c r="GQ2" s="5" t="inlineStr">
        <is>
          <t>9:30a</t>
        </is>
      </c>
      <c r="GR2" s="5" t="inlineStr">
        <is>
          <t>10a</t>
        </is>
      </c>
      <c r="GS2" s="5" t="inlineStr">
        <is>
          <t>10:30a</t>
        </is>
      </c>
      <c r="GT2" s="5" t="inlineStr">
        <is>
          <t>11a</t>
        </is>
      </c>
      <c r="GU2" s="5" t="inlineStr">
        <is>
          <t>11:30a</t>
        </is>
      </c>
      <c r="GV2" s="5" t="inlineStr">
        <is>
          <t>12p</t>
        </is>
      </c>
      <c r="GW2" s="5" t="inlineStr">
        <is>
          <t>12:30p</t>
        </is>
      </c>
      <c r="GX2" s="5" t="inlineStr">
        <is>
          <t>1p</t>
        </is>
      </c>
      <c r="GY2" s="5" t="inlineStr">
        <is>
          <t>1:30p</t>
        </is>
      </c>
      <c r="GZ2" s="5" t="inlineStr">
        <is>
          <t>2p</t>
        </is>
      </c>
      <c r="HA2" s="5" t="inlineStr">
        <is>
          <t>2:30p</t>
        </is>
      </c>
      <c r="HB2" s="5" t="inlineStr">
        <is>
          <t>3p</t>
        </is>
      </c>
      <c r="HC2" s="5" t="inlineStr">
        <is>
          <t>3:30p</t>
        </is>
      </c>
      <c r="HD2" s="5" t="inlineStr">
        <is>
          <t>4p</t>
        </is>
      </c>
      <c r="HE2" s="5" t="inlineStr">
        <is>
          <t>4:30p</t>
        </is>
      </c>
      <c r="HF2" s="5" t="inlineStr">
        <is>
          <t>5p</t>
        </is>
      </c>
      <c r="HG2" s="5" t="inlineStr">
        <is>
          <t>5:30p</t>
        </is>
      </c>
      <c r="HH2" s="5" t="inlineStr">
        <is>
          <t>6p</t>
        </is>
      </c>
      <c r="HI2" s="5" t="inlineStr">
        <is>
          <t>6:30p</t>
        </is>
      </c>
      <c r="HJ2" s="5" t="inlineStr">
        <is>
          <t>7p</t>
        </is>
      </c>
      <c r="HK2" s="5" t="inlineStr">
        <is>
          <t>7:30p</t>
        </is>
      </c>
      <c r="HL2" s="5" t="inlineStr">
        <is>
          <t>8p</t>
        </is>
      </c>
      <c r="HM2" s="5" t="inlineStr">
        <is>
          <t>8:30p</t>
        </is>
      </c>
      <c r="HN2" s="5" t="inlineStr">
        <is>
          <t>9p</t>
        </is>
      </c>
      <c r="HO2" s="5" t="inlineStr">
        <is>
          <t>9:30p</t>
        </is>
      </c>
      <c r="HP2" s="5" t="inlineStr">
        <is>
          <t>10p</t>
        </is>
      </c>
      <c r="HQ2" s="5" t="inlineStr">
        <is>
          <t>10:30p</t>
        </is>
      </c>
    </row>
    <row r="3">
      <c r="A3" s="11" t="inlineStr">
        <is>
          <t>Alex</t>
        </is>
      </c>
      <c r="B3" s="12" t="inlineStr">
        <is>
          <t>X</t>
        </is>
      </c>
      <c r="C3" s="12" t="inlineStr">
        <is>
          <t>X</t>
        </is>
      </c>
      <c r="D3" s="12" t="inlineStr">
        <is>
          <t>X</t>
        </is>
      </c>
      <c r="E3" s="12" t="inlineStr">
        <is>
          <t>X</t>
        </is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inlineStr">
        <is>
          <t>X</t>
        </is>
      </c>
      <c r="AI3" s="12" t="inlineStr">
        <is>
          <t>X</t>
        </is>
      </c>
      <c r="AJ3" s="12" t="inlineStr">
        <is>
          <t>X</t>
        </is>
      </c>
      <c r="AK3" s="12" t="inlineStr">
        <is>
          <t>X</t>
        </is>
      </c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2" t="n"/>
      <c r="BA3" s="12" t="n"/>
      <c r="BB3" s="12" t="n"/>
      <c r="BC3" s="12" t="n"/>
      <c r="BD3" s="12" t="n"/>
      <c r="BE3" s="12" t="n"/>
      <c r="BF3" s="12" t="n"/>
      <c r="BG3" s="12" t="n"/>
      <c r="BH3" s="12" t="n"/>
      <c r="BI3" s="12" t="n"/>
      <c r="BJ3" s="12" t="n"/>
      <c r="BK3" s="12" t="n"/>
      <c r="BL3" s="12" t="n"/>
      <c r="BM3" s="12" t="n"/>
      <c r="BN3" s="12" t="inlineStr">
        <is>
          <t>X</t>
        </is>
      </c>
      <c r="BO3" s="12" t="inlineStr">
        <is>
          <t>X</t>
        </is>
      </c>
      <c r="BP3" s="12" t="inlineStr">
        <is>
          <t>X</t>
        </is>
      </c>
      <c r="BQ3" s="12" t="inlineStr">
        <is>
          <t>X</t>
        </is>
      </c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inlineStr">
        <is>
          <t>X</t>
        </is>
      </c>
      <c r="CU3" s="12" t="inlineStr">
        <is>
          <t>X</t>
        </is>
      </c>
      <c r="CV3" s="12" t="inlineStr">
        <is>
          <t>X</t>
        </is>
      </c>
      <c r="CW3" s="12" t="inlineStr">
        <is>
          <t>X</t>
        </is>
      </c>
      <c r="CX3" s="12" t="n"/>
      <c r="CY3" s="12" t="n"/>
      <c r="CZ3" s="12" t="n"/>
      <c r="DA3" s="12" t="n"/>
      <c r="DB3" s="12" t="n"/>
      <c r="DC3" s="12" t="n"/>
      <c r="DD3" s="12" t="n"/>
      <c r="DE3" s="12" t="n"/>
      <c r="DF3" s="12" t="n"/>
      <c r="DG3" s="12" t="n"/>
      <c r="DH3" s="12" t="n"/>
      <c r="DI3" s="12" t="n"/>
      <c r="DJ3" s="12" t="n"/>
      <c r="DK3" s="12" t="n"/>
      <c r="DL3" s="12" t="n"/>
      <c r="DM3" s="12" t="n"/>
      <c r="DN3" s="12" t="n"/>
      <c r="DO3" s="12" t="n"/>
      <c r="DP3" s="12" t="n"/>
      <c r="DQ3" s="12" t="n"/>
      <c r="DR3" s="12" t="n"/>
      <c r="DS3" s="12" t="n"/>
      <c r="DT3" s="12" t="n"/>
      <c r="DU3" s="12" t="n"/>
      <c r="DV3" s="12" t="n"/>
      <c r="DW3" s="12" t="n"/>
      <c r="DX3" s="12" t="n"/>
      <c r="DY3" s="12" t="n"/>
      <c r="DZ3" s="12" t="inlineStr">
        <is>
          <t>X</t>
        </is>
      </c>
      <c r="EA3" s="12" t="inlineStr">
        <is>
          <t>X</t>
        </is>
      </c>
      <c r="EB3" s="12" t="inlineStr">
        <is>
          <t>X</t>
        </is>
      </c>
      <c r="EC3" s="12" t="inlineStr">
        <is>
          <t>X</t>
        </is>
      </c>
      <c r="ED3" s="12" t="n"/>
      <c r="EE3" s="12" t="n"/>
      <c r="EF3" s="12" t="n"/>
      <c r="EG3" s="12" t="n"/>
      <c r="EH3" s="12" t="n"/>
      <c r="EI3" s="12" t="n"/>
      <c r="EJ3" s="12" t="n"/>
      <c r="EK3" s="12" t="n"/>
      <c r="EL3" s="12" t="n"/>
      <c r="EM3" s="12" t="n"/>
      <c r="EN3" s="12" t="n"/>
      <c r="EO3" s="12" t="n"/>
      <c r="EP3" s="12" t="n"/>
      <c r="EQ3" s="12" t="n"/>
      <c r="ER3" s="12" t="n"/>
      <c r="ES3" s="12" t="n"/>
      <c r="ET3" s="12" t="n"/>
      <c r="EU3" s="12" t="n"/>
      <c r="EV3" s="12" t="n"/>
      <c r="EW3" s="12" t="n"/>
      <c r="EX3" s="12" t="n"/>
      <c r="EY3" s="12" t="n"/>
      <c r="EZ3" s="12" t="n"/>
      <c r="FA3" s="12" t="n"/>
      <c r="FB3" s="12" t="n"/>
      <c r="FC3" s="12" t="n"/>
      <c r="FD3" s="12" t="n"/>
      <c r="FE3" s="12" t="n"/>
      <c r="FF3" s="12" t="inlineStr">
        <is>
          <t>X</t>
        </is>
      </c>
      <c r="FG3" s="12" t="inlineStr">
        <is>
          <t>X</t>
        </is>
      </c>
      <c r="FH3" s="12" t="inlineStr">
        <is>
          <t>X</t>
        </is>
      </c>
      <c r="FI3" s="12" t="inlineStr">
        <is>
          <t>X</t>
        </is>
      </c>
      <c r="FJ3" s="12" t="n"/>
      <c r="FK3" s="12" t="n"/>
      <c r="FL3" s="12" t="n"/>
      <c r="FM3" s="12" t="n"/>
      <c r="FN3" s="12" t="n"/>
      <c r="FO3" s="12" t="n"/>
      <c r="FP3" s="12" t="n"/>
      <c r="FQ3" s="12" t="n"/>
      <c r="FR3" s="12" t="n"/>
      <c r="FS3" s="12" t="n"/>
      <c r="FT3" s="12" t="n"/>
      <c r="FU3" s="12" t="n"/>
      <c r="FV3" s="12" t="n"/>
      <c r="FW3" s="12" t="n"/>
      <c r="FX3" s="12" t="n"/>
      <c r="FY3" s="12" t="n"/>
      <c r="FZ3" s="12" t="n"/>
      <c r="GA3" s="12" t="n"/>
      <c r="GB3" s="12" t="n"/>
      <c r="GC3" s="12" t="n"/>
      <c r="GD3" s="12" t="n"/>
      <c r="GE3" s="12" t="n"/>
      <c r="GF3" s="12" t="n"/>
      <c r="GG3" s="12" t="n"/>
      <c r="GH3" s="12" t="n"/>
      <c r="GI3" s="12" t="n"/>
      <c r="GJ3" s="12" t="n"/>
      <c r="GK3" s="12" t="n"/>
      <c r="GL3" s="12" t="inlineStr">
        <is>
          <t>X</t>
        </is>
      </c>
      <c r="GM3" s="12" t="inlineStr">
        <is>
          <t>X</t>
        </is>
      </c>
      <c r="GN3" s="12" t="inlineStr">
        <is>
          <t>X</t>
        </is>
      </c>
      <c r="GO3" s="12" t="inlineStr">
        <is>
          <t>X</t>
        </is>
      </c>
      <c r="GP3" s="12" t="n"/>
      <c r="GQ3" s="12" t="n"/>
      <c r="GR3" s="12" t="n"/>
      <c r="GS3" s="12" t="n"/>
      <c r="GT3" s="12" t="n"/>
      <c r="GU3" s="12" t="n"/>
      <c r="GV3" s="12" t="n"/>
      <c r="GW3" s="12" t="n"/>
      <c r="GX3" s="12" t="n"/>
      <c r="GY3" s="12" t="n"/>
      <c r="GZ3" s="12" t="n"/>
      <c r="HA3" s="12" t="n"/>
      <c r="HB3" s="12" t="n"/>
      <c r="HC3" s="12" t="n"/>
      <c r="HD3" s="12" t="n"/>
      <c r="HE3" s="12" t="n"/>
      <c r="HF3" s="12" t="n"/>
      <c r="HG3" s="12" t="n"/>
      <c r="HH3" s="12" t="n"/>
      <c r="HI3" s="12" t="n"/>
      <c r="HJ3" s="12" t="n"/>
      <c r="HK3" s="12" t="n"/>
      <c r="HL3" s="12" t="n"/>
      <c r="HM3" s="12" t="n"/>
      <c r="HN3" s="12" t="n"/>
      <c r="HO3" s="12" t="n"/>
      <c r="HP3" s="12" t="n"/>
      <c r="HQ3" s="12" t="n"/>
    </row>
    <row r="4">
      <c r="A4" s="11" t="inlineStr">
        <is>
          <t>Bina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2" t="n"/>
      <c r="CX4" s="12" t="n"/>
      <c r="CY4" s="12" t="n"/>
      <c r="CZ4" s="12" t="n"/>
      <c r="DA4" s="12" t="n"/>
      <c r="DB4" s="12" t="n"/>
      <c r="DC4" s="12" t="n"/>
      <c r="DD4" s="12" t="n"/>
      <c r="DE4" s="12" t="n"/>
      <c r="DF4" s="12" t="n"/>
      <c r="DG4" s="12" t="n"/>
      <c r="DH4" s="12" t="n"/>
      <c r="DI4" s="12" t="n"/>
      <c r="DJ4" s="12" t="n"/>
      <c r="DK4" s="12" t="n"/>
      <c r="DL4" s="12" t="n"/>
      <c r="DM4" s="12" t="n"/>
      <c r="DN4" s="12" t="n"/>
      <c r="DO4" s="12" t="n"/>
      <c r="DP4" s="12" t="n"/>
      <c r="DQ4" s="12" t="n"/>
      <c r="DR4" s="12" t="n"/>
      <c r="DS4" s="12" t="n"/>
      <c r="DT4" s="12" t="n"/>
      <c r="DU4" s="12" t="n"/>
      <c r="DV4" s="12" t="n"/>
      <c r="DW4" s="12" t="n"/>
      <c r="DX4" s="12" t="n"/>
      <c r="DY4" s="12" t="n"/>
      <c r="DZ4" s="12" t="n"/>
      <c r="EA4" s="12" t="n"/>
      <c r="EB4" s="12" t="n"/>
      <c r="EC4" s="12" t="n"/>
      <c r="ED4" s="12" t="n"/>
      <c r="EE4" s="12" t="n"/>
      <c r="EF4" s="12" t="n"/>
      <c r="EG4" s="12" t="n"/>
      <c r="EH4" s="12" t="n"/>
      <c r="EI4" s="12" t="n"/>
      <c r="EJ4" s="12" t="n"/>
      <c r="EK4" s="12" t="n"/>
      <c r="EL4" s="12" t="n"/>
      <c r="EM4" s="12" t="n"/>
      <c r="EN4" s="12" t="n"/>
      <c r="EO4" s="12" t="n"/>
      <c r="EP4" s="12" t="n"/>
      <c r="EQ4" s="12" t="n"/>
      <c r="ER4" s="12" t="n"/>
      <c r="ES4" s="12" t="n"/>
      <c r="ET4" s="12" t="n"/>
      <c r="EU4" s="12" t="n"/>
      <c r="EV4" s="12" t="n"/>
      <c r="EW4" s="12" t="n"/>
      <c r="EX4" s="12" t="n"/>
      <c r="EY4" s="12" t="n"/>
      <c r="EZ4" s="12" t="n"/>
      <c r="FA4" s="12" t="n"/>
      <c r="FB4" s="12" t="n"/>
      <c r="FC4" s="12" t="n"/>
      <c r="FD4" s="12" t="n"/>
      <c r="FE4" s="12" t="n"/>
      <c r="FF4" s="12" t="inlineStr">
        <is>
          <t>X</t>
        </is>
      </c>
      <c r="FG4" s="12" t="inlineStr">
        <is>
          <t>X</t>
        </is>
      </c>
      <c r="FH4" s="12" t="inlineStr">
        <is>
          <t>X</t>
        </is>
      </c>
      <c r="FI4" s="12" t="inlineStr">
        <is>
          <t>X</t>
        </is>
      </c>
      <c r="FJ4" s="12" t="inlineStr">
        <is>
          <t>X</t>
        </is>
      </c>
      <c r="FK4" s="12" t="inlineStr">
        <is>
          <t>X</t>
        </is>
      </c>
      <c r="FL4" s="12" t="inlineStr">
        <is>
          <t>X</t>
        </is>
      </c>
      <c r="FM4" s="12" t="inlineStr">
        <is>
          <t>X</t>
        </is>
      </c>
      <c r="FN4" s="12" t="inlineStr">
        <is>
          <t>X</t>
        </is>
      </c>
      <c r="FO4" s="12" t="inlineStr">
        <is>
          <t>X</t>
        </is>
      </c>
      <c r="FP4" s="12" t="inlineStr">
        <is>
          <t>X</t>
        </is>
      </c>
      <c r="FQ4" s="12" t="inlineStr">
        <is>
          <t>X</t>
        </is>
      </c>
      <c r="FR4" s="12" t="inlineStr">
        <is>
          <t>X</t>
        </is>
      </c>
      <c r="FS4" s="12" t="inlineStr">
        <is>
          <t>X</t>
        </is>
      </c>
      <c r="FT4" s="12" t="inlineStr">
        <is>
          <t>X</t>
        </is>
      </c>
      <c r="FU4" s="12" t="inlineStr">
        <is>
          <t>X</t>
        </is>
      </c>
      <c r="FV4" s="12" t="inlineStr">
        <is>
          <t>X</t>
        </is>
      </c>
      <c r="FW4" s="12" t="inlineStr">
        <is>
          <t>X</t>
        </is>
      </c>
      <c r="FX4" s="12" t="inlineStr">
        <is>
          <t>X</t>
        </is>
      </c>
      <c r="FY4" s="12" t="inlineStr">
        <is>
          <t>X</t>
        </is>
      </c>
      <c r="FZ4" s="12" t="inlineStr">
        <is>
          <t>X</t>
        </is>
      </c>
      <c r="GA4" s="12" t="inlineStr">
        <is>
          <t>X</t>
        </is>
      </c>
      <c r="GB4" s="12" t="inlineStr">
        <is>
          <t>X</t>
        </is>
      </c>
      <c r="GC4" s="12" t="inlineStr">
        <is>
          <t>X</t>
        </is>
      </c>
      <c r="GD4" s="12" t="inlineStr">
        <is>
          <t>X</t>
        </is>
      </c>
      <c r="GE4" s="12" t="inlineStr">
        <is>
          <t>X</t>
        </is>
      </c>
      <c r="GF4" s="12" t="inlineStr">
        <is>
          <t>X</t>
        </is>
      </c>
      <c r="GG4" s="12" t="inlineStr">
        <is>
          <t>X</t>
        </is>
      </c>
      <c r="GH4" s="12" t="inlineStr">
        <is>
          <t>X</t>
        </is>
      </c>
      <c r="GI4" s="12" t="inlineStr">
        <is>
          <t>X</t>
        </is>
      </c>
      <c r="GJ4" s="12" t="inlineStr">
        <is>
          <t>X</t>
        </is>
      </c>
      <c r="GK4" s="12" t="inlineStr">
        <is>
          <t>X</t>
        </is>
      </c>
      <c r="GL4" s="12" t="inlineStr">
        <is>
          <t>X</t>
        </is>
      </c>
      <c r="GM4" s="12" t="inlineStr">
        <is>
          <t>X</t>
        </is>
      </c>
      <c r="GN4" s="12" t="inlineStr">
        <is>
          <t>X</t>
        </is>
      </c>
      <c r="GO4" s="12" t="inlineStr">
        <is>
          <t>X</t>
        </is>
      </c>
      <c r="GP4" s="12" t="inlineStr">
        <is>
          <t>X</t>
        </is>
      </c>
      <c r="GQ4" s="12" t="inlineStr">
        <is>
          <t>X</t>
        </is>
      </c>
      <c r="GR4" s="12" t="inlineStr">
        <is>
          <t>X</t>
        </is>
      </c>
      <c r="GS4" s="12" t="inlineStr">
        <is>
          <t>X</t>
        </is>
      </c>
      <c r="GT4" s="12" t="inlineStr">
        <is>
          <t>X</t>
        </is>
      </c>
      <c r="GU4" s="12" t="inlineStr">
        <is>
          <t>X</t>
        </is>
      </c>
      <c r="GV4" s="12" t="inlineStr">
        <is>
          <t>X</t>
        </is>
      </c>
      <c r="GW4" s="12" t="inlineStr">
        <is>
          <t>X</t>
        </is>
      </c>
      <c r="GX4" s="12" t="inlineStr">
        <is>
          <t>X</t>
        </is>
      </c>
      <c r="GY4" s="12" t="inlineStr">
        <is>
          <t>X</t>
        </is>
      </c>
      <c r="GZ4" s="12" t="inlineStr">
        <is>
          <t>X</t>
        </is>
      </c>
      <c r="HA4" s="12" t="inlineStr">
        <is>
          <t>X</t>
        </is>
      </c>
      <c r="HB4" s="12" t="inlineStr">
        <is>
          <t>X</t>
        </is>
      </c>
      <c r="HC4" s="12" t="inlineStr">
        <is>
          <t>X</t>
        </is>
      </c>
      <c r="HD4" s="12" t="inlineStr">
        <is>
          <t>X</t>
        </is>
      </c>
      <c r="HE4" s="12" t="inlineStr">
        <is>
          <t>X</t>
        </is>
      </c>
      <c r="HF4" s="12" t="inlineStr">
        <is>
          <t>X</t>
        </is>
      </c>
      <c r="HG4" s="12" t="inlineStr">
        <is>
          <t>X</t>
        </is>
      </c>
      <c r="HH4" s="12" t="inlineStr">
        <is>
          <t>X</t>
        </is>
      </c>
      <c r="HI4" s="12" t="inlineStr">
        <is>
          <t>X</t>
        </is>
      </c>
      <c r="HJ4" s="12" t="inlineStr">
        <is>
          <t>X</t>
        </is>
      </c>
      <c r="HK4" s="12" t="inlineStr">
        <is>
          <t>X</t>
        </is>
      </c>
      <c r="HL4" s="12" t="inlineStr">
        <is>
          <t>X</t>
        </is>
      </c>
      <c r="HM4" s="12" t="inlineStr">
        <is>
          <t>X</t>
        </is>
      </c>
      <c r="HN4" s="12" t="inlineStr">
        <is>
          <t>X</t>
        </is>
      </c>
      <c r="HO4" s="12" t="inlineStr">
        <is>
          <t>X</t>
        </is>
      </c>
      <c r="HP4" s="12" t="inlineStr">
        <is>
          <t>X</t>
        </is>
      </c>
      <c r="HQ4" s="12" t="inlineStr">
        <is>
          <t>X</t>
        </is>
      </c>
    </row>
    <row r="5">
      <c r="A5" s="11" t="inlineStr">
        <is>
          <t>Cleo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inlineStr">
        <is>
          <t>X</t>
        </is>
      </c>
      <c r="AC5" s="12" t="inlineStr">
        <is>
          <t>X</t>
        </is>
      </c>
      <c r="AD5" s="12" t="inlineStr">
        <is>
          <t>X</t>
        </is>
      </c>
      <c r="AE5" s="12" t="inlineStr">
        <is>
          <t>X</t>
        </is>
      </c>
      <c r="AF5" s="12" t="inlineStr">
        <is>
          <t>X</t>
        </is>
      </c>
      <c r="AG5" s="12" t="inlineStr">
        <is>
          <t>X</t>
        </is>
      </c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inlineStr">
        <is>
          <t>X</t>
        </is>
      </c>
      <c r="BI5" s="12" t="inlineStr">
        <is>
          <t>X</t>
        </is>
      </c>
      <c r="BJ5" s="12" t="inlineStr">
        <is>
          <t>X</t>
        </is>
      </c>
      <c r="BK5" s="12" t="inlineStr">
        <is>
          <t>X</t>
        </is>
      </c>
      <c r="BL5" s="12" t="inlineStr">
        <is>
          <t>X</t>
        </is>
      </c>
      <c r="BM5" s="12" t="inlineStr">
        <is>
          <t>X</t>
        </is>
      </c>
      <c r="BN5" s="12" t="n"/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inlineStr">
        <is>
          <t>X</t>
        </is>
      </c>
      <c r="CO5" s="12" t="inlineStr">
        <is>
          <t>X</t>
        </is>
      </c>
      <c r="CP5" s="12" t="inlineStr">
        <is>
          <t>X</t>
        </is>
      </c>
      <c r="CQ5" s="12" t="inlineStr">
        <is>
          <t>X</t>
        </is>
      </c>
      <c r="CR5" s="12" t="inlineStr">
        <is>
          <t>X</t>
        </is>
      </c>
      <c r="CS5" s="12" t="inlineStr">
        <is>
          <t>X</t>
        </is>
      </c>
      <c r="CT5" s="12" t="n"/>
      <c r="CU5" s="12" t="n"/>
      <c r="CV5" s="12" t="n"/>
      <c r="CW5" s="12" t="n"/>
      <c r="CX5" s="12" t="n"/>
      <c r="CY5" s="12" t="n"/>
      <c r="CZ5" s="12" t="n"/>
      <c r="DA5" s="12" t="n"/>
      <c r="DB5" s="12" t="n"/>
      <c r="DC5" s="12" t="n"/>
      <c r="DD5" s="12" t="n"/>
      <c r="DE5" s="12" t="n"/>
      <c r="DF5" s="12" t="n"/>
      <c r="DG5" s="12" t="n"/>
      <c r="DH5" s="12" t="n"/>
      <c r="DI5" s="12" t="n"/>
      <c r="DJ5" s="12" t="n"/>
      <c r="DK5" s="12" t="n"/>
      <c r="DL5" s="12" t="n"/>
      <c r="DM5" s="12" t="n"/>
      <c r="DN5" s="12" t="n"/>
      <c r="DO5" s="12" t="n"/>
      <c r="DP5" s="12" t="n"/>
      <c r="DQ5" s="12" t="n"/>
      <c r="DR5" s="12" t="n"/>
      <c r="DS5" s="12" t="n"/>
      <c r="DT5" s="12" t="inlineStr">
        <is>
          <t>X</t>
        </is>
      </c>
      <c r="DU5" s="12" t="inlineStr">
        <is>
          <t>X</t>
        </is>
      </c>
      <c r="DV5" s="12" t="inlineStr">
        <is>
          <t>X</t>
        </is>
      </c>
      <c r="DW5" s="12" t="inlineStr">
        <is>
          <t>X</t>
        </is>
      </c>
      <c r="DX5" s="12" t="inlineStr">
        <is>
          <t>X</t>
        </is>
      </c>
      <c r="DY5" s="12" t="inlineStr">
        <is>
          <t>X</t>
        </is>
      </c>
      <c r="DZ5" s="12" t="n"/>
      <c r="EA5" s="12" t="n"/>
      <c r="EB5" s="12" t="n"/>
      <c r="EC5" s="12" t="n"/>
      <c r="ED5" s="12" t="n"/>
      <c r="EE5" s="12" t="n"/>
      <c r="EF5" s="12" t="n"/>
      <c r="EG5" s="12" t="n"/>
      <c r="EH5" s="12" t="n"/>
      <c r="EI5" s="12" t="n"/>
      <c r="EJ5" s="12" t="n"/>
      <c r="EK5" s="12" t="n"/>
      <c r="EL5" s="12" t="n"/>
      <c r="EM5" s="12" t="n"/>
      <c r="EN5" s="12" t="n"/>
      <c r="EO5" s="12" t="n"/>
      <c r="EP5" s="12" t="n"/>
      <c r="EQ5" s="12" t="n"/>
      <c r="ER5" s="12" t="n"/>
      <c r="ES5" s="12" t="n"/>
      <c r="ET5" s="12" t="n"/>
      <c r="EU5" s="12" t="n"/>
      <c r="EV5" s="12" t="n"/>
      <c r="EW5" s="12" t="n"/>
      <c r="EX5" s="12" t="n"/>
      <c r="EY5" s="12" t="n"/>
      <c r="EZ5" s="12" t="inlineStr">
        <is>
          <t>X</t>
        </is>
      </c>
      <c r="FA5" s="12" t="inlineStr">
        <is>
          <t>X</t>
        </is>
      </c>
      <c r="FB5" s="12" t="inlineStr">
        <is>
          <t>X</t>
        </is>
      </c>
      <c r="FC5" s="12" t="inlineStr">
        <is>
          <t>X</t>
        </is>
      </c>
      <c r="FD5" s="12" t="inlineStr">
        <is>
          <t>X</t>
        </is>
      </c>
      <c r="FE5" s="12" t="inlineStr">
        <is>
          <t>X</t>
        </is>
      </c>
      <c r="FF5" s="12" t="n"/>
      <c r="FG5" s="12" t="n"/>
      <c r="FH5" s="12" t="n"/>
      <c r="FI5" s="12" t="n"/>
      <c r="FJ5" s="12" t="n"/>
      <c r="FK5" s="12" t="n"/>
      <c r="FL5" s="12" t="n"/>
      <c r="FM5" s="12" t="n"/>
      <c r="FN5" s="12" t="n"/>
      <c r="FO5" s="12" t="n"/>
      <c r="FP5" s="12" t="n"/>
      <c r="FQ5" s="12" t="n"/>
      <c r="FR5" s="12" t="n"/>
      <c r="FS5" s="12" t="n"/>
      <c r="FT5" s="12" t="n"/>
      <c r="FU5" s="12" t="n"/>
      <c r="FV5" s="12" t="n"/>
      <c r="FW5" s="12" t="n"/>
      <c r="FX5" s="12" t="n"/>
      <c r="FY5" s="12" t="n"/>
      <c r="FZ5" s="12" t="n"/>
      <c r="GA5" s="12" t="n"/>
      <c r="GB5" s="12" t="n"/>
      <c r="GC5" s="12" t="n"/>
      <c r="GD5" s="12" t="n"/>
      <c r="GE5" s="12" t="n"/>
      <c r="GF5" s="12" t="inlineStr">
        <is>
          <t>X</t>
        </is>
      </c>
      <c r="GG5" s="12" t="inlineStr">
        <is>
          <t>X</t>
        </is>
      </c>
      <c r="GH5" s="12" t="inlineStr">
        <is>
          <t>X</t>
        </is>
      </c>
      <c r="GI5" s="12" t="inlineStr">
        <is>
          <t>X</t>
        </is>
      </c>
      <c r="GJ5" s="12" t="inlineStr">
        <is>
          <t>X</t>
        </is>
      </c>
      <c r="GK5" s="12" t="inlineStr">
        <is>
          <t>X</t>
        </is>
      </c>
      <c r="GL5" s="12" t="n"/>
      <c r="GM5" s="12" t="n"/>
      <c r="GN5" s="12" t="n"/>
      <c r="GO5" s="12" t="n"/>
      <c r="GP5" s="12" t="n"/>
      <c r="GQ5" s="12" t="n"/>
      <c r="GR5" s="12" t="n"/>
      <c r="GS5" s="12" t="n"/>
      <c r="GT5" s="12" t="n"/>
      <c r="GU5" s="12" t="n"/>
      <c r="GV5" s="12" t="n"/>
      <c r="GW5" s="12" t="n"/>
      <c r="GX5" s="12" t="n"/>
      <c r="GY5" s="12" t="n"/>
      <c r="GZ5" s="12" t="n"/>
      <c r="HA5" s="12" t="n"/>
      <c r="HB5" s="12" t="n"/>
      <c r="HC5" s="12" t="n"/>
      <c r="HD5" s="12" t="n"/>
      <c r="HE5" s="12" t="n"/>
      <c r="HF5" s="12" t="n"/>
      <c r="HG5" s="12" t="n"/>
      <c r="HH5" s="12" t="n"/>
      <c r="HI5" s="12" t="n"/>
      <c r="HJ5" s="12" t="n"/>
      <c r="HK5" s="12" t="n"/>
      <c r="HL5" s="12" t="inlineStr">
        <is>
          <t>X</t>
        </is>
      </c>
      <c r="HM5" s="12" t="inlineStr">
        <is>
          <t>X</t>
        </is>
      </c>
      <c r="HN5" s="12" t="inlineStr">
        <is>
          <t>X</t>
        </is>
      </c>
      <c r="HO5" s="12" t="inlineStr">
        <is>
          <t>X</t>
        </is>
      </c>
      <c r="HP5" s="12" t="inlineStr">
        <is>
          <t>X</t>
        </is>
      </c>
      <c r="HQ5" s="12" t="inlineStr">
        <is>
          <t>X</t>
        </is>
      </c>
    </row>
    <row r="6">
      <c r="A6" s="11" t="inlineStr">
        <is>
          <t>Dario</t>
        </is>
      </c>
      <c r="B6" s="12" t="inlineStr">
        <is>
          <t>X</t>
        </is>
      </c>
      <c r="C6" s="12" t="inlineStr">
        <is>
          <t>X</t>
        </is>
      </c>
      <c r="D6" s="12" t="inlineStr">
        <is>
          <t>X</t>
        </is>
      </c>
      <c r="E6" s="12" t="inlineStr">
        <is>
          <t>X</t>
        </is>
      </c>
      <c r="F6" s="12" t="inlineStr">
        <is>
          <t>X</t>
        </is>
      </c>
      <c r="G6" s="12" t="inlineStr">
        <is>
          <t>X</t>
        </is>
      </c>
      <c r="H6" s="12" t="inlineStr">
        <is>
          <t>X</t>
        </is>
      </c>
      <c r="I6" s="12" t="inlineStr">
        <is>
          <t>X</t>
        </is>
      </c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inlineStr">
        <is>
          <t>X</t>
        </is>
      </c>
      <c r="BO6" s="12" t="inlineStr">
        <is>
          <t>X</t>
        </is>
      </c>
      <c r="BP6" s="12" t="inlineStr">
        <is>
          <t>X</t>
        </is>
      </c>
      <c r="BQ6" s="12" t="inlineStr">
        <is>
          <t>X</t>
        </is>
      </c>
      <c r="BR6" s="12" t="inlineStr">
        <is>
          <t>X</t>
        </is>
      </c>
      <c r="BS6" s="12" t="inlineStr">
        <is>
          <t>X</t>
        </is>
      </c>
      <c r="BT6" s="12" t="inlineStr">
        <is>
          <t>X</t>
        </is>
      </c>
      <c r="BU6" s="12" t="inlineStr">
        <is>
          <t>X</t>
        </is>
      </c>
      <c r="BV6" s="12" t="inlineStr">
        <is>
          <t>X</t>
        </is>
      </c>
      <c r="BW6" s="12" t="inlineStr">
        <is>
          <t>X</t>
        </is>
      </c>
      <c r="BX6" s="12" t="inlineStr">
        <is>
          <t>X</t>
        </is>
      </c>
      <c r="BY6" s="12" t="inlineStr">
        <is>
          <t>X</t>
        </is>
      </c>
      <c r="BZ6" s="12" t="inlineStr">
        <is>
          <t>X</t>
        </is>
      </c>
      <c r="CA6" s="12" t="inlineStr">
        <is>
          <t>X</t>
        </is>
      </c>
      <c r="CB6" s="12" t="inlineStr">
        <is>
          <t>X</t>
        </is>
      </c>
      <c r="CC6" s="12" t="inlineStr">
        <is>
          <t>X</t>
        </is>
      </c>
      <c r="CD6" s="12" t="inlineStr">
        <is>
          <t>X</t>
        </is>
      </c>
      <c r="CE6" s="12" t="inlineStr">
        <is>
          <t>X</t>
        </is>
      </c>
      <c r="CF6" s="12" t="inlineStr">
        <is>
          <t>X</t>
        </is>
      </c>
      <c r="CG6" s="12" t="inlineStr">
        <is>
          <t>X</t>
        </is>
      </c>
      <c r="CH6" s="12" t="inlineStr">
        <is>
          <t>X</t>
        </is>
      </c>
      <c r="CI6" s="12" t="inlineStr">
        <is>
          <t>X</t>
        </is>
      </c>
      <c r="CJ6" s="12" t="inlineStr">
        <is>
          <t>X</t>
        </is>
      </c>
      <c r="CK6" s="12" t="inlineStr">
        <is>
          <t>X</t>
        </is>
      </c>
      <c r="CL6" s="12" t="inlineStr">
        <is>
          <t>X</t>
        </is>
      </c>
      <c r="CM6" s="12" t="inlineStr">
        <is>
          <t>X</t>
        </is>
      </c>
      <c r="CN6" s="12" t="inlineStr">
        <is>
          <t>X</t>
        </is>
      </c>
      <c r="CO6" s="12" t="inlineStr">
        <is>
          <t>X</t>
        </is>
      </c>
      <c r="CP6" s="12" t="inlineStr">
        <is>
          <t>X</t>
        </is>
      </c>
      <c r="CQ6" s="12" t="inlineStr">
        <is>
          <t>X</t>
        </is>
      </c>
      <c r="CR6" s="12" t="inlineStr">
        <is>
          <t>X</t>
        </is>
      </c>
      <c r="CS6" s="12" t="inlineStr">
        <is>
          <t>X</t>
        </is>
      </c>
      <c r="CT6" s="12" t="n"/>
      <c r="CU6" s="12" t="n"/>
      <c r="CV6" s="12" t="n"/>
      <c r="CW6" s="12" t="n"/>
      <c r="CX6" s="12" t="n"/>
      <c r="CY6" s="12" t="n"/>
      <c r="CZ6" s="12" t="n"/>
      <c r="DA6" s="12" t="n"/>
      <c r="DB6" s="12" t="n"/>
      <c r="DC6" s="12" t="n"/>
      <c r="DD6" s="12" t="n"/>
      <c r="DE6" s="12" t="n"/>
      <c r="DF6" s="12" t="n"/>
      <c r="DG6" s="12" t="n"/>
      <c r="DH6" s="12" t="n"/>
      <c r="DI6" s="12" t="n"/>
      <c r="DJ6" s="12" t="n"/>
      <c r="DK6" s="12" t="n"/>
      <c r="DL6" s="12" t="n"/>
      <c r="DM6" s="12" t="n"/>
      <c r="DN6" s="12" t="n"/>
      <c r="DO6" s="12" t="n"/>
      <c r="DP6" s="12" t="n"/>
      <c r="DQ6" s="12" t="n"/>
      <c r="DR6" s="12" t="n"/>
      <c r="DS6" s="12" t="n"/>
      <c r="DT6" s="12" t="n"/>
      <c r="DU6" s="12" t="n"/>
      <c r="DV6" s="12" t="n"/>
      <c r="DW6" s="12" t="n"/>
      <c r="DX6" s="12" t="n"/>
      <c r="DY6" s="12" t="n"/>
      <c r="DZ6" s="12" t="n"/>
      <c r="EA6" s="12" t="n"/>
      <c r="EB6" s="12" t="n"/>
      <c r="EC6" s="12" t="n"/>
      <c r="ED6" s="12" t="n"/>
      <c r="EE6" s="12" t="n"/>
      <c r="EF6" s="12" t="n"/>
      <c r="EG6" s="12" t="n"/>
      <c r="EH6" s="12" t="n"/>
      <c r="EI6" s="12" t="n"/>
      <c r="EJ6" s="12" t="n"/>
      <c r="EK6" s="12" t="n"/>
      <c r="EL6" s="12" t="n"/>
      <c r="EM6" s="12" t="n"/>
      <c r="EN6" s="12" t="n"/>
      <c r="EO6" s="12" t="n"/>
      <c r="EP6" s="12" t="n"/>
      <c r="EQ6" s="12" t="n"/>
      <c r="ER6" s="12" t="n"/>
      <c r="ES6" s="12" t="n"/>
      <c r="ET6" s="12" t="n"/>
      <c r="EU6" s="12" t="n"/>
      <c r="EV6" s="12" t="n"/>
      <c r="EW6" s="12" t="n"/>
      <c r="EX6" s="12" t="n"/>
      <c r="EY6" s="12" t="n"/>
      <c r="EZ6" s="12" t="n"/>
      <c r="FA6" s="12" t="n"/>
      <c r="FB6" s="12" t="n"/>
      <c r="FC6" s="12" t="n"/>
      <c r="FD6" s="12" t="n"/>
      <c r="FE6" s="12" t="n"/>
      <c r="FF6" s="12" t="n"/>
      <c r="FG6" s="12" t="n"/>
      <c r="FH6" s="12" t="n"/>
      <c r="FI6" s="12" t="n"/>
      <c r="FJ6" s="12" t="n"/>
      <c r="FK6" s="12" t="n"/>
      <c r="FL6" s="12" t="n"/>
      <c r="FM6" s="12" t="n"/>
      <c r="FN6" s="12" t="n"/>
      <c r="FO6" s="12" t="n"/>
      <c r="FP6" s="12" t="n"/>
      <c r="FQ6" s="12" t="n"/>
      <c r="FR6" s="12" t="n"/>
      <c r="FS6" s="12" t="n"/>
      <c r="FT6" s="12" t="n"/>
      <c r="FU6" s="12" t="n"/>
      <c r="FV6" s="12" t="n"/>
      <c r="FW6" s="12" t="n"/>
      <c r="FX6" s="12" t="n"/>
      <c r="FY6" s="12" t="n"/>
      <c r="FZ6" s="12" t="n"/>
      <c r="GA6" s="12" t="n"/>
      <c r="GB6" s="12" t="n"/>
      <c r="GC6" s="12" t="n"/>
      <c r="GD6" s="12" t="n"/>
      <c r="GE6" s="12" t="n"/>
      <c r="GF6" s="12" t="n"/>
      <c r="GG6" s="12" t="n"/>
      <c r="GH6" s="12" t="n"/>
      <c r="GI6" s="12" t="n"/>
      <c r="GJ6" s="12" t="n"/>
      <c r="GK6" s="12" t="n"/>
      <c r="GL6" s="12" t="n"/>
      <c r="GM6" s="12" t="n"/>
      <c r="GN6" s="12" t="n"/>
      <c r="GO6" s="12" t="n"/>
      <c r="GP6" s="12" t="n"/>
      <c r="GQ6" s="12" t="n"/>
      <c r="GR6" s="12" t="n"/>
      <c r="GS6" s="12" t="n"/>
      <c r="GT6" s="12" t="n"/>
      <c r="GU6" s="12" t="n"/>
      <c r="GV6" s="12" t="n"/>
      <c r="GW6" s="12" t="n"/>
      <c r="GX6" s="12" t="n"/>
      <c r="GY6" s="12" t="n"/>
      <c r="GZ6" s="12" t="n"/>
      <c r="HA6" s="12" t="n"/>
      <c r="HB6" s="12" t="n"/>
      <c r="HC6" s="12" t="n"/>
      <c r="HD6" s="12" t="n"/>
      <c r="HE6" s="12" t="n"/>
      <c r="HF6" s="12" t="n"/>
      <c r="HG6" s="12" t="n"/>
      <c r="HH6" s="12" t="n"/>
      <c r="HI6" s="12" t="n"/>
      <c r="HJ6" s="12" t="n"/>
      <c r="HK6" s="12" t="n"/>
      <c r="HL6" s="12" t="n"/>
      <c r="HM6" s="12" t="n"/>
      <c r="HN6" s="12" t="n"/>
      <c r="HO6" s="12" t="n"/>
      <c r="HP6" s="12" t="n"/>
      <c r="HQ6" s="12" t="n"/>
    </row>
    <row r="8">
      <c r="A8" s="9" t="inlineStr">
        <is>
          <t>Mark "X" where an employee is NOT available; blank = available. Re-run schedule_tool.py after editing.</t>
        </is>
      </c>
    </row>
  </sheetData>
  <mergeCells count="7">
    <mergeCell ref="AH1:BM1"/>
    <mergeCell ref="BN1:CS1"/>
    <mergeCell ref="CT1:DY1"/>
    <mergeCell ref="B1:AG1"/>
    <mergeCell ref="FF1:GK1"/>
    <mergeCell ref="DZ1:FE1"/>
    <mergeCell ref="GL1:HQ1"/>
  </mergeCells>
  <conditionalFormatting sqref="B3:HQ6">
    <cfRule type="expression" priority="1" dxfId="0">
      <formula>UPPER(B3)="X"</formula>
    </cfRule>
  </conditionalFormatting>
  <dataValidations count="1">
    <dataValidation sqref="B3:HQ6" showDropDown="0" showInputMessage="0" showErrorMessage="1" allowBlank="1" errorTitle="Invalid entry" error="Enter &quot;X&quot; to mark unavailable, or leave blank for available." type="list">
      <formula1>"X,x"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HQ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  <col width="4.5" customWidth="1" min="111" max="111"/>
    <col width="4.5" customWidth="1" min="112" max="112"/>
    <col width="4.5" customWidth="1" min="113" max="113"/>
    <col width="4.5" customWidth="1" min="114" max="114"/>
    <col width="4.5" customWidth="1" min="115" max="115"/>
    <col width="4.5" customWidth="1" min="116" max="116"/>
    <col width="4.5" customWidth="1" min="117" max="117"/>
    <col width="4.5" customWidth="1" min="118" max="118"/>
    <col width="4.5" customWidth="1" min="119" max="119"/>
    <col width="4.5" customWidth="1" min="120" max="120"/>
    <col width="4.5" customWidth="1" min="121" max="121"/>
    <col width="4.5" customWidth="1" min="122" max="122"/>
    <col width="4.5" customWidth="1" min="123" max="123"/>
    <col width="4.5" customWidth="1" min="124" max="124"/>
    <col width="4.5" customWidth="1" min="125" max="125"/>
    <col width="4.5" customWidth="1" min="126" max="126"/>
    <col width="4.5" customWidth="1" min="127" max="127"/>
    <col width="4.5" customWidth="1" min="128" max="128"/>
    <col width="4.5" customWidth="1" min="129" max="129"/>
    <col width="4.5" customWidth="1" min="130" max="130"/>
    <col width="4.5" customWidth="1" min="131" max="131"/>
    <col width="4.5" customWidth="1" min="132" max="132"/>
    <col width="4.5" customWidth="1" min="133" max="133"/>
    <col width="4.5" customWidth="1" min="134" max="134"/>
    <col width="4.5" customWidth="1" min="135" max="135"/>
    <col width="4.5" customWidth="1" min="136" max="136"/>
    <col width="4.5" customWidth="1" min="137" max="137"/>
    <col width="4.5" customWidth="1" min="138" max="138"/>
    <col width="4.5" customWidth="1" min="139" max="139"/>
    <col width="4.5" customWidth="1" min="140" max="140"/>
    <col width="4.5" customWidth="1" min="141" max="141"/>
    <col width="4.5" customWidth="1" min="142" max="142"/>
    <col width="4.5" customWidth="1" min="143" max="143"/>
    <col width="4.5" customWidth="1" min="144" max="144"/>
    <col width="4.5" customWidth="1" min="145" max="145"/>
    <col width="4.5" customWidth="1" min="146" max="146"/>
    <col width="4.5" customWidth="1" min="147" max="147"/>
    <col width="4.5" customWidth="1" min="148" max="148"/>
    <col width="4.5" customWidth="1" min="149" max="149"/>
    <col width="4.5" customWidth="1" min="150" max="150"/>
    <col width="4.5" customWidth="1" min="151" max="151"/>
    <col width="4.5" customWidth="1" min="152" max="152"/>
    <col width="4.5" customWidth="1" min="153" max="153"/>
    <col width="4.5" customWidth="1" min="154" max="154"/>
    <col width="4.5" customWidth="1" min="155" max="155"/>
    <col width="4.5" customWidth="1" min="156" max="156"/>
    <col width="4.5" customWidth="1" min="157" max="157"/>
    <col width="4.5" customWidth="1" min="158" max="158"/>
    <col width="4.5" customWidth="1" min="159" max="159"/>
    <col width="4.5" customWidth="1" min="160" max="160"/>
    <col width="4.5" customWidth="1" min="161" max="161"/>
    <col width="4.5" customWidth="1" min="162" max="162"/>
    <col width="4.5" customWidth="1" min="163" max="163"/>
    <col width="4.5" customWidth="1" min="164" max="164"/>
    <col width="4.5" customWidth="1" min="165" max="165"/>
    <col width="4.5" customWidth="1" min="166" max="166"/>
    <col width="4.5" customWidth="1" min="167" max="167"/>
    <col width="4.5" customWidth="1" min="168" max="168"/>
    <col width="4.5" customWidth="1" min="169" max="169"/>
    <col width="4.5" customWidth="1" min="170" max="170"/>
    <col width="4.5" customWidth="1" min="171" max="171"/>
    <col width="4.5" customWidth="1" min="172" max="172"/>
    <col width="4.5" customWidth="1" min="173" max="173"/>
    <col width="4.5" customWidth="1" min="174" max="174"/>
    <col width="4.5" customWidth="1" min="175" max="175"/>
    <col width="4.5" customWidth="1" min="176" max="176"/>
    <col width="4.5" customWidth="1" min="177" max="177"/>
    <col width="4.5" customWidth="1" min="178" max="178"/>
    <col width="4.5" customWidth="1" min="179" max="179"/>
    <col width="4.5" customWidth="1" min="180" max="180"/>
    <col width="4.5" customWidth="1" min="181" max="181"/>
    <col width="4.5" customWidth="1" min="182" max="182"/>
    <col width="4.5" customWidth="1" min="183" max="183"/>
    <col width="4.5" customWidth="1" min="184" max="184"/>
    <col width="4.5" customWidth="1" min="185" max="185"/>
    <col width="4.5" customWidth="1" min="186" max="186"/>
    <col width="4.5" customWidth="1" min="187" max="187"/>
    <col width="4.5" customWidth="1" min="188" max="188"/>
    <col width="4.5" customWidth="1" min="189" max="189"/>
    <col width="4.5" customWidth="1" min="190" max="190"/>
    <col width="4.5" customWidth="1" min="191" max="191"/>
    <col width="4.5" customWidth="1" min="192" max="192"/>
    <col width="4.5" customWidth="1" min="193" max="193"/>
    <col width="4.5" customWidth="1" min="194" max="194"/>
    <col width="4.5" customWidth="1" min="195" max="195"/>
    <col width="4.5" customWidth="1" min="196" max="196"/>
    <col width="4.5" customWidth="1" min="197" max="197"/>
    <col width="4.5" customWidth="1" min="198" max="198"/>
    <col width="4.5" customWidth="1" min="199" max="199"/>
    <col width="4.5" customWidth="1" min="200" max="200"/>
    <col width="4.5" customWidth="1" min="201" max="201"/>
    <col width="4.5" customWidth="1" min="202" max="202"/>
    <col width="4.5" customWidth="1" min="203" max="203"/>
    <col width="4.5" customWidth="1" min="204" max="204"/>
    <col width="4.5" customWidth="1" min="205" max="205"/>
    <col width="4.5" customWidth="1" min="206" max="206"/>
    <col width="4.5" customWidth="1" min="207" max="207"/>
    <col width="4.5" customWidth="1" min="208" max="208"/>
    <col width="4.5" customWidth="1" min="209" max="209"/>
    <col width="4.5" customWidth="1" min="210" max="210"/>
    <col width="4.5" customWidth="1" min="211" max="211"/>
    <col width="4.5" customWidth="1" min="212" max="212"/>
    <col width="4.5" customWidth="1" min="213" max="213"/>
    <col width="4.5" customWidth="1" min="214" max="214"/>
    <col width="4.5" customWidth="1" min="215" max="215"/>
    <col width="4.5" customWidth="1" min="216" max="216"/>
    <col width="4.5" customWidth="1" min="217" max="217"/>
    <col width="4.5" customWidth="1" min="218" max="218"/>
    <col width="4.5" customWidth="1" min="219" max="219"/>
    <col width="4.5" customWidth="1" min="220" max="220"/>
    <col width="4.5" customWidth="1" min="221" max="221"/>
    <col width="4.5" customWidth="1" min="222" max="222"/>
    <col width="4.5" customWidth="1" min="223" max="223"/>
    <col width="4.5" customWidth="1" min="224" max="224"/>
    <col width="4.5" customWidth="1" min="225" max="225"/>
  </cols>
  <sheetData>
    <row r="1">
      <c r="A1" s="10" t="inlineStr">
        <is>
          <t>Schedule</t>
        </is>
      </c>
      <c r="B1" s="10" t="inlineStr">
        <is>
          <t>Mon</t>
        </is>
      </c>
      <c r="AH1" s="10" t="inlineStr">
        <is>
          <t>Tue</t>
        </is>
      </c>
      <c r="BN1" s="10" t="inlineStr">
        <is>
          <t>Wed</t>
        </is>
      </c>
      <c r="CT1" s="10" t="inlineStr">
        <is>
          <t>Thu</t>
        </is>
      </c>
      <c r="DZ1" s="10" t="inlineStr">
        <is>
          <t>Fri</t>
        </is>
      </c>
      <c r="FF1" s="10" t="inlineStr">
        <is>
          <t>Sat</t>
        </is>
      </c>
      <c r="GL1" s="10" t="inlineStr">
        <is>
          <t>Sun</t>
        </is>
      </c>
    </row>
    <row r="2">
      <c r="A2" s="10" t="inlineStr">
        <is>
          <t>Employee \ Block</t>
        </is>
      </c>
      <c r="B2" s="5" t="inlineStr">
        <is>
          <t>7a</t>
        </is>
      </c>
      <c r="C2" s="5" t="inlineStr">
        <is>
          <t>7:30a</t>
        </is>
      </c>
      <c r="D2" s="5" t="inlineStr">
        <is>
          <t>8a</t>
        </is>
      </c>
      <c r="E2" s="5" t="inlineStr">
        <is>
          <t>8:30a</t>
        </is>
      </c>
      <c r="F2" s="5" t="inlineStr">
        <is>
          <t>9a</t>
        </is>
      </c>
      <c r="G2" s="5" t="inlineStr">
        <is>
          <t>9:30a</t>
        </is>
      </c>
      <c r="H2" s="5" t="inlineStr">
        <is>
          <t>10a</t>
        </is>
      </c>
      <c r="I2" s="5" t="inlineStr">
        <is>
          <t>10:30a</t>
        </is>
      </c>
      <c r="J2" s="5" t="inlineStr">
        <is>
          <t>11a</t>
        </is>
      </c>
      <c r="K2" s="5" t="inlineStr">
        <is>
          <t>11:30a</t>
        </is>
      </c>
      <c r="L2" s="5" t="inlineStr">
        <is>
          <t>12p</t>
        </is>
      </c>
      <c r="M2" s="5" t="inlineStr">
        <is>
          <t>12:30p</t>
        </is>
      </c>
      <c r="N2" s="5" t="inlineStr">
        <is>
          <t>1p</t>
        </is>
      </c>
      <c r="O2" s="5" t="inlineStr">
        <is>
          <t>1:30p</t>
        </is>
      </c>
      <c r="P2" s="5" t="inlineStr">
        <is>
          <t>2p</t>
        </is>
      </c>
      <c r="Q2" s="5" t="inlineStr">
        <is>
          <t>2:30p</t>
        </is>
      </c>
      <c r="R2" s="5" t="inlineStr">
        <is>
          <t>3p</t>
        </is>
      </c>
      <c r="S2" s="5" t="inlineStr">
        <is>
          <t>3:30p</t>
        </is>
      </c>
      <c r="T2" s="5" t="inlineStr">
        <is>
          <t>4p</t>
        </is>
      </c>
      <c r="U2" s="5" t="inlineStr">
        <is>
          <t>4:30p</t>
        </is>
      </c>
      <c r="V2" s="5" t="inlineStr">
        <is>
          <t>5p</t>
        </is>
      </c>
      <c r="W2" s="5" t="inlineStr">
        <is>
          <t>5:30p</t>
        </is>
      </c>
      <c r="X2" s="5" t="inlineStr">
        <is>
          <t>6p</t>
        </is>
      </c>
      <c r="Y2" s="5" t="inlineStr">
        <is>
          <t>6:30p</t>
        </is>
      </c>
      <c r="Z2" s="5" t="inlineStr">
        <is>
          <t>7p</t>
        </is>
      </c>
      <c r="AA2" s="5" t="inlineStr">
        <is>
          <t>7:30p</t>
        </is>
      </c>
      <c r="AB2" s="5" t="inlineStr">
        <is>
          <t>8p</t>
        </is>
      </c>
      <c r="AC2" s="5" t="inlineStr">
        <is>
          <t>8:30p</t>
        </is>
      </c>
      <c r="AD2" s="5" t="inlineStr">
        <is>
          <t>9p</t>
        </is>
      </c>
      <c r="AE2" s="5" t="inlineStr">
        <is>
          <t>9:30p</t>
        </is>
      </c>
      <c r="AF2" s="5" t="inlineStr">
        <is>
          <t>10p</t>
        </is>
      </c>
      <c r="AG2" s="5" t="inlineStr">
        <is>
          <t>10:30p</t>
        </is>
      </c>
      <c r="AH2" s="5" t="inlineStr">
        <is>
          <t>7a</t>
        </is>
      </c>
      <c r="AI2" s="5" t="inlineStr">
        <is>
          <t>7:30a</t>
        </is>
      </c>
      <c r="AJ2" s="5" t="inlineStr">
        <is>
          <t>8a</t>
        </is>
      </c>
      <c r="AK2" s="5" t="inlineStr">
        <is>
          <t>8:30a</t>
        </is>
      </c>
      <c r="AL2" s="5" t="inlineStr">
        <is>
          <t>9a</t>
        </is>
      </c>
      <c r="AM2" s="5" t="inlineStr">
        <is>
          <t>9:30a</t>
        </is>
      </c>
      <c r="AN2" s="5" t="inlineStr">
        <is>
          <t>10a</t>
        </is>
      </c>
      <c r="AO2" s="5" t="inlineStr">
        <is>
          <t>10:30a</t>
        </is>
      </c>
      <c r="AP2" s="5" t="inlineStr">
        <is>
          <t>11a</t>
        </is>
      </c>
      <c r="AQ2" s="5" t="inlineStr">
        <is>
          <t>11:30a</t>
        </is>
      </c>
      <c r="AR2" s="5" t="inlineStr">
        <is>
          <t>12p</t>
        </is>
      </c>
      <c r="AS2" s="5" t="inlineStr">
        <is>
          <t>12:30p</t>
        </is>
      </c>
      <c r="AT2" s="5" t="inlineStr">
        <is>
          <t>1p</t>
        </is>
      </c>
      <c r="AU2" s="5" t="inlineStr">
        <is>
          <t>1:30p</t>
        </is>
      </c>
      <c r="AV2" s="5" t="inlineStr">
        <is>
          <t>2p</t>
        </is>
      </c>
      <c r="AW2" s="5" t="inlineStr">
        <is>
          <t>2:30p</t>
        </is>
      </c>
      <c r="AX2" s="5" t="inlineStr">
        <is>
          <t>3p</t>
        </is>
      </c>
      <c r="AY2" s="5" t="inlineStr">
        <is>
          <t>3:30p</t>
        </is>
      </c>
      <c r="AZ2" s="5" t="inlineStr">
        <is>
          <t>4p</t>
        </is>
      </c>
      <c r="BA2" s="5" t="inlineStr">
        <is>
          <t>4:30p</t>
        </is>
      </c>
      <c r="BB2" s="5" t="inlineStr">
        <is>
          <t>5p</t>
        </is>
      </c>
      <c r="BC2" s="5" t="inlineStr">
        <is>
          <t>5:30p</t>
        </is>
      </c>
      <c r="BD2" s="5" t="inlineStr">
        <is>
          <t>6p</t>
        </is>
      </c>
      <c r="BE2" s="5" t="inlineStr">
        <is>
          <t>6:30p</t>
        </is>
      </c>
      <c r="BF2" s="5" t="inlineStr">
        <is>
          <t>7p</t>
        </is>
      </c>
      <c r="BG2" s="5" t="inlineStr">
        <is>
          <t>7:30p</t>
        </is>
      </c>
      <c r="BH2" s="5" t="inlineStr">
        <is>
          <t>8p</t>
        </is>
      </c>
      <c r="BI2" s="5" t="inlineStr">
        <is>
          <t>8:30p</t>
        </is>
      </c>
      <c r="BJ2" s="5" t="inlineStr">
        <is>
          <t>9p</t>
        </is>
      </c>
      <c r="BK2" s="5" t="inlineStr">
        <is>
          <t>9:30p</t>
        </is>
      </c>
      <c r="BL2" s="5" t="inlineStr">
        <is>
          <t>10p</t>
        </is>
      </c>
      <c r="BM2" s="5" t="inlineStr">
        <is>
          <t>10:30p</t>
        </is>
      </c>
      <c r="BN2" s="5" t="inlineStr">
        <is>
          <t>7a</t>
        </is>
      </c>
      <c r="BO2" s="5" t="inlineStr">
        <is>
          <t>7:30a</t>
        </is>
      </c>
      <c r="BP2" s="5" t="inlineStr">
        <is>
          <t>8a</t>
        </is>
      </c>
      <c r="BQ2" s="5" t="inlineStr">
        <is>
          <t>8:30a</t>
        </is>
      </c>
      <c r="BR2" s="5" t="inlineStr">
        <is>
          <t>9a</t>
        </is>
      </c>
      <c r="BS2" s="5" t="inlineStr">
        <is>
          <t>9:30a</t>
        </is>
      </c>
      <c r="BT2" s="5" t="inlineStr">
        <is>
          <t>10a</t>
        </is>
      </c>
      <c r="BU2" s="5" t="inlineStr">
        <is>
          <t>10:30a</t>
        </is>
      </c>
      <c r="BV2" s="5" t="inlineStr">
        <is>
          <t>11a</t>
        </is>
      </c>
      <c r="BW2" s="5" t="inlineStr">
        <is>
          <t>11:30a</t>
        </is>
      </c>
      <c r="BX2" s="5" t="inlineStr">
        <is>
          <t>12p</t>
        </is>
      </c>
      <c r="BY2" s="5" t="inlineStr">
        <is>
          <t>12:30p</t>
        </is>
      </c>
      <c r="BZ2" s="5" t="inlineStr">
        <is>
          <t>1p</t>
        </is>
      </c>
      <c r="CA2" s="5" t="inlineStr">
        <is>
          <t>1:30p</t>
        </is>
      </c>
      <c r="CB2" s="5" t="inlineStr">
        <is>
          <t>2p</t>
        </is>
      </c>
      <c r="CC2" s="5" t="inlineStr">
        <is>
          <t>2:30p</t>
        </is>
      </c>
      <c r="CD2" s="5" t="inlineStr">
        <is>
          <t>3p</t>
        </is>
      </c>
      <c r="CE2" s="5" t="inlineStr">
        <is>
          <t>3:30p</t>
        </is>
      </c>
      <c r="CF2" s="5" t="inlineStr">
        <is>
          <t>4p</t>
        </is>
      </c>
      <c r="CG2" s="5" t="inlineStr">
        <is>
          <t>4:30p</t>
        </is>
      </c>
      <c r="CH2" s="5" t="inlineStr">
        <is>
          <t>5p</t>
        </is>
      </c>
      <c r="CI2" s="5" t="inlineStr">
        <is>
          <t>5:30p</t>
        </is>
      </c>
      <c r="CJ2" s="5" t="inlineStr">
        <is>
          <t>6p</t>
        </is>
      </c>
      <c r="CK2" s="5" t="inlineStr">
        <is>
          <t>6:30p</t>
        </is>
      </c>
      <c r="CL2" s="5" t="inlineStr">
        <is>
          <t>7p</t>
        </is>
      </c>
      <c r="CM2" s="5" t="inlineStr">
        <is>
          <t>7:30p</t>
        </is>
      </c>
      <c r="CN2" s="5" t="inlineStr">
        <is>
          <t>8p</t>
        </is>
      </c>
      <c r="CO2" s="5" t="inlineStr">
        <is>
          <t>8:30p</t>
        </is>
      </c>
      <c r="CP2" s="5" t="inlineStr">
        <is>
          <t>9p</t>
        </is>
      </c>
      <c r="CQ2" s="5" t="inlineStr">
        <is>
          <t>9:30p</t>
        </is>
      </c>
      <c r="CR2" s="5" t="inlineStr">
        <is>
          <t>10p</t>
        </is>
      </c>
      <c r="CS2" s="5" t="inlineStr">
        <is>
          <t>10:30p</t>
        </is>
      </c>
      <c r="CT2" s="5" t="inlineStr">
        <is>
          <t>7a</t>
        </is>
      </c>
      <c r="CU2" s="5" t="inlineStr">
        <is>
          <t>7:30a</t>
        </is>
      </c>
      <c r="CV2" s="5" t="inlineStr">
        <is>
          <t>8a</t>
        </is>
      </c>
      <c r="CW2" s="5" t="inlineStr">
        <is>
          <t>8:30a</t>
        </is>
      </c>
      <c r="CX2" s="5" t="inlineStr">
        <is>
          <t>9a</t>
        </is>
      </c>
      <c r="CY2" s="5" t="inlineStr">
        <is>
          <t>9:30a</t>
        </is>
      </c>
      <c r="CZ2" s="5" t="inlineStr">
        <is>
          <t>10a</t>
        </is>
      </c>
      <c r="DA2" s="5" t="inlineStr">
        <is>
          <t>10:30a</t>
        </is>
      </c>
      <c r="DB2" s="5" t="inlineStr">
        <is>
          <t>11a</t>
        </is>
      </c>
      <c r="DC2" s="5" t="inlineStr">
        <is>
          <t>11:30a</t>
        </is>
      </c>
      <c r="DD2" s="5" t="inlineStr">
        <is>
          <t>12p</t>
        </is>
      </c>
      <c r="DE2" s="5" t="inlineStr">
        <is>
          <t>12:30p</t>
        </is>
      </c>
      <c r="DF2" s="5" t="inlineStr">
        <is>
          <t>1p</t>
        </is>
      </c>
      <c r="DG2" s="5" t="inlineStr">
        <is>
          <t>1:30p</t>
        </is>
      </c>
      <c r="DH2" s="5" t="inlineStr">
        <is>
          <t>2p</t>
        </is>
      </c>
      <c r="DI2" s="5" t="inlineStr">
        <is>
          <t>2:30p</t>
        </is>
      </c>
      <c r="DJ2" s="5" t="inlineStr">
        <is>
          <t>3p</t>
        </is>
      </c>
      <c r="DK2" s="5" t="inlineStr">
        <is>
          <t>3:30p</t>
        </is>
      </c>
      <c r="DL2" s="5" t="inlineStr">
        <is>
          <t>4p</t>
        </is>
      </c>
      <c r="DM2" s="5" t="inlineStr">
        <is>
          <t>4:30p</t>
        </is>
      </c>
      <c r="DN2" s="5" t="inlineStr">
        <is>
          <t>5p</t>
        </is>
      </c>
      <c r="DO2" s="5" t="inlineStr">
        <is>
          <t>5:30p</t>
        </is>
      </c>
      <c r="DP2" s="5" t="inlineStr">
        <is>
          <t>6p</t>
        </is>
      </c>
      <c r="DQ2" s="5" t="inlineStr">
        <is>
          <t>6:30p</t>
        </is>
      </c>
      <c r="DR2" s="5" t="inlineStr">
        <is>
          <t>7p</t>
        </is>
      </c>
      <c r="DS2" s="5" t="inlineStr">
        <is>
          <t>7:30p</t>
        </is>
      </c>
      <c r="DT2" s="5" t="inlineStr">
        <is>
          <t>8p</t>
        </is>
      </c>
      <c r="DU2" s="5" t="inlineStr">
        <is>
          <t>8:30p</t>
        </is>
      </c>
      <c r="DV2" s="5" t="inlineStr">
        <is>
          <t>9p</t>
        </is>
      </c>
      <c r="DW2" s="5" t="inlineStr">
        <is>
          <t>9:30p</t>
        </is>
      </c>
      <c r="DX2" s="5" t="inlineStr">
        <is>
          <t>10p</t>
        </is>
      </c>
      <c r="DY2" s="5" t="inlineStr">
        <is>
          <t>10:30p</t>
        </is>
      </c>
      <c r="DZ2" s="5" t="inlineStr">
        <is>
          <t>7a</t>
        </is>
      </c>
      <c r="EA2" s="5" t="inlineStr">
        <is>
          <t>7:30a</t>
        </is>
      </c>
      <c r="EB2" s="5" t="inlineStr">
        <is>
          <t>8a</t>
        </is>
      </c>
      <c r="EC2" s="5" t="inlineStr">
        <is>
          <t>8:30a</t>
        </is>
      </c>
      <c r="ED2" s="5" t="inlineStr">
        <is>
          <t>9a</t>
        </is>
      </c>
      <c r="EE2" s="5" t="inlineStr">
        <is>
          <t>9:30a</t>
        </is>
      </c>
      <c r="EF2" s="5" t="inlineStr">
        <is>
          <t>10a</t>
        </is>
      </c>
      <c r="EG2" s="5" t="inlineStr">
        <is>
          <t>10:30a</t>
        </is>
      </c>
      <c r="EH2" s="5" t="inlineStr">
        <is>
          <t>11a</t>
        </is>
      </c>
      <c r="EI2" s="5" t="inlineStr">
        <is>
          <t>11:30a</t>
        </is>
      </c>
      <c r="EJ2" s="5" t="inlineStr">
        <is>
          <t>12p</t>
        </is>
      </c>
      <c r="EK2" s="5" t="inlineStr">
        <is>
          <t>12:30p</t>
        </is>
      </c>
      <c r="EL2" s="5" t="inlineStr">
        <is>
          <t>1p</t>
        </is>
      </c>
      <c r="EM2" s="5" t="inlineStr">
        <is>
          <t>1:30p</t>
        </is>
      </c>
      <c r="EN2" s="5" t="inlineStr">
        <is>
          <t>2p</t>
        </is>
      </c>
      <c r="EO2" s="5" t="inlineStr">
        <is>
          <t>2:30p</t>
        </is>
      </c>
      <c r="EP2" s="5" t="inlineStr">
        <is>
          <t>3p</t>
        </is>
      </c>
      <c r="EQ2" s="5" t="inlineStr">
        <is>
          <t>3:30p</t>
        </is>
      </c>
      <c r="ER2" s="5" t="inlineStr">
        <is>
          <t>4p</t>
        </is>
      </c>
      <c r="ES2" s="5" t="inlineStr">
        <is>
          <t>4:30p</t>
        </is>
      </c>
      <c r="ET2" s="5" t="inlineStr">
        <is>
          <t>5p</t>
        </is>
      </c>
      <c r="EU2" s="5" t="inlineStr">
        <is>
          <t>5:30p</t>
        </is>
      </c>
      <c r="EV2" s="5" t="inlineStr">
        <is>
          <t>6p</t>
        </is>
      </c>
      <c r="EW2" s="5" t="inlineStr">
        <is>
          <t>6:30p</t>
        </is>
      </c>
      <c r="EX2" s="5" t="inlineStr">
        <is>
          <t>7p</t>
        </is>
      </c>
      <c r="EY2" s="5" t="inlineStr">
        <is>
          <t>7:30p</t>
        </is>
      </c>
      <c r="EZ2" s="5" t="inlineStr">
        <is>
          <t>8p</t>
        </is>
      </c>
      <c r="FA2" s="5" t="inlineStr">
        <is>
          <t>8:30p</t>
        </is>
      </c>
      <c r="FB2" s="5" t="inlineStr">
        <is>
          <t>9p</t>
        </is>
      </c>
      <c r="FC2" s="5" t="inlineStr">
        <is>
          <t>9:30p</t>
        </is>
      </c>
      <c r="FD2" s="5" t="inlineStr">
        <is>
          <t>10p</t>
        </is>
      </c>
      <c r="FE2" s="5" t="inlineStr">
        <is>
          <t>10:30p</t>
        </is>
      </c>
      <c r="FF2" s="5" t="inlineStr">
        <is>
          <t>7a</t>
        </is>
      </c>
      <c r="FG2" s="5" t="inlineStr">
        <is>
          <t>7:30a</t>
        </is>
      </c>
      <c r="FH2" s="5" t="inlineStr">
        <is>
          <t>8a</t>
        </is>
      </c>
      <c r="FI2" s="5" t="inlineStr">
        <is>
          <t>8:30a</t>
        </is>
      </c>
      <c r="FJ2" s="5" t="inlineStr">
        <is>
          <t>9a</t>
        </is>
      </c>
      <c r="FK2" s="5" t="inlineStr">
        <is>
          <t>9:30a</t>
        </is>
      </c>
      <c r="FL2" s="5" t="inlineStr">
        <is>
          <t>10a</t>
        </is>
      </c>
      <c r="FM2" s="5" t="inlineStr">
        <is>
          <t>10:30a</t>
        </is>
      </c>
      <c r="FN2" s="5" t="inlineStr">
        <is>
          <t>11a</t>
        </is>
      </c>
      <c r="FO2" s="5" t="inlineStr">
        <is>
          <t>11:30a</t>
        </is>
      </c>
      <c r="FP2" s="5" t="inlineStr">
        <is>
          <t>12p</t>
        </is>
      </c>
      <c r="FQ2" s="5" t="inlineStr">
        <is>
          <t>12:30p</t>
        </is>
      </c>
      <c r="FR2" s="5" t="inlineStr">
        <is>
          <t>1p</t>
        </is>
      </c>
      <c r="FS2" s="5" t="inlineStr">
        <is>
          <t>1:30p</t>
        </is>
      </c>
      <c r="FT2" s="5" t="inlineStr">
        <is>
          <t>2p</t>
        </is>
      </c>
      <c r="FU2" s="5" t="inlineStr">
        <is>
          <t>2:30p</t>
        </is>
      </c>
      <c r="FV2" s="5" t="inlineStr">
        <is>
          <t>3p</t>
        </is>
      </c>
      <c r="FW2" s="5" t="inlineStr">
        <is>
          <t>3:30p</t>
        </is>
      </c>
      <c r="FX2" s="5" t="inlineStr">
        <is>
          <t>4p</t>
        </is>
      </c>
      <c r="FY2" s="5" t="inlineStr">
        <is>
          <t>4:30p</t>
        </is>
      </c>
      <c r="FZ2" s="5" t="inlineStr">
        <is>
          <t>5p</t>
        </is>
      </c>
      <c r="GA2" s="5" t="inlineStr">
        <is>
          <t>5:30p</t>
        </is>
      </c>
      <c r="GB2" s="5" t="inlineStr">
        <is>
          <t>6p</t>
        </is>
      </c>
      <c r="GC2" s="5" t="inlineStr">
        <is>
          <t>6:30p</t>
        </is>
      </c>
      <c r="GD2" s="5" t="inlineStr">
        <is>
          <t>7p</t>
        </is>
      </c>
      <c r="GE2" s="5" t="inlineStr">
        <is>
          <t>7:30p</t>
        </is>
      </c>
      <c r="GF2" s="5" t="inlineStr">
        <is>
          <t>8p</t>
        </is>
      </c>
      <c r="GG2" s="5" t="inlineStr">
        <is>
          <t>8:30p</t>
        </is>
      </c>
      <c r="GH2" s="5" t="inlineStr">
        <is>
          <t>9p</t>
        </is>
      </c>
      <c r="GI2" s="5" t="inlineStr">
        <is>
          <t>9:30p</t>
        </is>
      </c>
      <c r="GJ2" s="5" t="inlineStr">
        <is>
          <t>10p</t>
        </is>
      </c>
      <c r="GK2" s="5" t="inlineStr">
        <is>
          <t>10:30p</t>
        </is>
      </c>
      <c r="GL2" s="5" t="inlineStr">
        <is>
          <t>7a</t>
        </is>
      </c>
      <c r="GM2" s="5" t="inlineStr">
        <is>
          <t>7:30a</t>
        </is>
      </c>
      <c r="GN2" s="5" t="inlineStr">
        <is>
          <t>8a</t>
        </is>
      </c>
      <c r="GO2" s="5" t="inlineStr">
        <is>
          <t>8:30a</t>
        </is>
      </c>
      <c r="GP2" s="5" t="inlineStr">
        <is>
          <t>9a</t>
        </is>
      </c>
      <c r="GQ2" s="5" t="inlineStr">
        <is>
          <t>9:30a</t>
        </is>
      </c>
      <c r="GR2" s="5" t="inlineStr">
        <is>
          <t>10a</t>
        </is>
      </c>
      <c r="GS2" s="5" t="inlineStr">
        <is>
          <t>10:30a</t>
        </is>
      </c>
      <c r="GT2" s="5" t="inlineStr">
        <is>
          <t>11a</t>
        </is>
      </c>
      <c r="GU2" s="5" t="inlineStr">
        <is>
          <t>11:30a</t>
        </is>
      </c>
      <c r="GV2" s="5" t="inlineStr">
        <is>
          <t>12p</t>
        </is>
      </c>
      <c r="GW2" s="5" t="inlineStr">
        <is>
          <t>12:30p</t>
        </is>
      </c>
      <c r="GX2" s="5" t="inlineStr">
        <is>
          <t>1p</t>
        </is>
      </c>
      <c r="GY2" s="5" t="inlineStr">
        <is>
          <t>1:30p</t>
        </is>
      </c>
      <c r="GZ2" s="5" t="inlineStr">
        <is>
          <t>2p</t>
        </is>
      </c>
      <c r="HA2" s="5" t="inlineStr">
        <is>
          <t>2:30p</t>
        </is>
      </c>
      <c r="HB2" s="5" t="inlineStr">
        <is>
          <t>3p</t>
        </is>
      </c>
      <c r="HC2" s="5" t="inlineStr">
        <is>
          <t>3:30p</t>
        </is>
      </c>
      <c r="HD2" s="5" t="inlineStr">
        <is>
          <t>4p</t>
        </is>
      </c>
      <c r="HE2" s="5" t="inlineStr">
        <is>
          <t>4:30p</t>
        </is>
      </c>
      <c r="HF2" s="5" t="inlineStr">
        <is>
          <t>5p</t>
        </is>
      </c>
      <c r="HG2" s="5" t="inlineStr">
        <is>
          <t>5:30p</t>
        </is>
      </c>
      <c r="HH2" s="5" t="inlineStr">
        <is>
          <t>6p</t>
        </is>
      </c>
      <c r="HI2" s="5" t="inlineStr">
        <is>
          <t>6:30p</t>
        </is>
      </c>
      <c r="HJ2" s="5" t="inlineStr">
        <is>
          <t>7p</t>
        </is>
      </c>
      <c r="HK2" s="5" t="inlineStr">
        <is>
          <t>7:30p</t>
        </is>
      </c>
      <c r="HL2" s="5" t="inlineStr">
        <is>
          <t>8p</t>
        </is>
      </c>
      <c r="HM2" s="5" t="inlineStr">
        <is>
          <t>8:30p</t>
        </is>
      </c>
      <c r="HN2" s="5" t="inlineStr">
        <is>
          <t>9p</t>
        </is>
      </c>
      <c r="HO2" s="5" t="inlineStr">
        <is>
          <t>9:30p</t>
        </is>
      </c>
      <c r="HP2" s="5" t="inlineStr">
        <is>
          <t>10p</t>
        </is>
      </c>
      <c r="HQ2" s="5" t="inlineStr">
        <is>
          <t>10:30p</t>
        </is>
      </c>
    </row>
    <row r="3">
      <c r="A3" s="13" t="inlineStr">
        <is>
          <t>Alex</t>
        </is>
      </c>
      <c r="B3" s="14" t="inlineStr">
        <is>
          <t>·</t>
        </is>
      </c>
      <c r="C3" s="14" t="inlineStr">
        <is>
          <t>·</t>
        </is>
      </c>
      <c r="D3" s="14" t="inlineStr">
        <is>
          <t>·</t>
        </is>
      </c>
      <c r="E3" s="14" t="inlineStr">
        <is>
          <t>·</t>
        </is>
      </c>
      <c r="F3" s="15" t="inlineStr">
        <is>
          <t>●</t>
        </is>
      </c>
      <c r="G3" s="15" t="inlineStr">
        <is>
          <t>●</t>
        </is>
      </c>
      <c r="H3" s="15" t="inlineStr">
        <is>
          <t>●</t>
        </is>
      </c>
      <c r="I3" s="15" t="inlineStr">
        <is>
          <t>●</t>
        </is>
      </c>
      <c r="J3" s="15" t="inlineStr">
        <is>
          <t>●</t>
        </is>
      </c>
      <c r="K3" s="16" t="inlineStr">
        <is>
          <t>R</t>
        </is>
      </c>
      <c r="L3" s="15" t="inlineStr">
        <is>
          <t>●</t>
        </is>
      </c>
      <c r="M3" s="15" t="inlineStr">
        <is>
          <t>●</t>
        </is>
      </c>
      <c r="N3" s="17" t="inlineStr">
        <is>
          <t>M</t>
        </is>
      </c>
      <c r="O3" s="15" t="inlineStr">
        <is>
          <t>●</t>
        </is>
      </c>
      <c r="P3" s="15" t="inlineStr">
        <is>
          <t>●</t>
        </is>
      </c>
      <c r="Q3" s="16" t="inlineStr">
        <is>
          <t>R</t>
        </is>
      </c>
      <c r="R3" s="15" t="inlineStr">
        <is>
          <t>●</t>
        </is>
      </c>
      <c r="S3" s="15" t="inlineStr">
        <is>
          <t>●</t>
        </is>
      </c>
      <c r="T3" s="15" t="inlineStr">
        <is>
          <t>●</t>
        </is>
      </c>
      <c r="U3" s="15" t="inlineStr">
        <is>
          <t>●</t>
        </is>
      </c>
      <c r="V3" s="15" t="inlineStr">
        <is>
          <t>●</t>
        </is>
      </c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4" t="inlineStr">
        <is>
          <t>·</t>
        </is>
      </c>
      <c r="AI3" s="14" t="inlineStr">
        <is>
          <t>·</t>
        </is>
      </c>
      <c r="AJ3" s="14" t="inlineStr">
        <is>
          <t>·</t>
        </is>
      </c>
      <c r="AK3" s="14" t="inlineStr">
        <is>
          <t>·</t>
        </is>
      </c>
      <c r="AL3" s="12" t="n"/>
      <c r="AM3" s="12" t="n"/>
      <c r="AN3" s="12" t="n"/>
      <c r="AO3" s="12" t="n"/>
      <c r="AP3" s="15" t="inlineStr">
        <is>
          <t>●</t>
        </is>
      </c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2" t="n"/>
      <c r="BA3" s="12" t="n"/>
      <c r="BB3" s="12" t="n"/>
      <c r="BC3" s="12" t="n"/>
      <c r="BD3" s="12" t="n"/>
      <c r="BE3" s="12" t="n"/>
      <c r="BF3" s="12" t="n"/>
      <c r="BG3" s="12" t="n"/>
      <c r="BH3" s="12" t="n"/>
      <c r="BI3" s="12" t="n"/>
      <c r="BJ3" s="12" t="n"/>
      <c r="BK3" s="12" t="n"/>
      <c r="BL3" s="12" t="n"/>
      <c r="BM3" s="12" t="n"/>
      <c r="BN3" s="14" t="inlineStr">
        <is>
          <t>·</t>
        </is>
      </c>
      <c r="BO3" s="14" t="inlineStr">
        <is>
          <t>·</t>
        </is>
      </c>
      <c r="BP3" s="14" t="inlineStr">
        <is>
          <t>·</t>
        </is>
      </c>
      <c r="BQ3" s="14" t="inlineStr">
        <is>
          <t>·</t>
        </is>
      </c>
      <c r="BR3" s="15" t="inlineStr">
        <is>
          <t>●</t>
        </is>
      </c>
      <c r="BS3" s="15" t="inlineStr">
        <is>
          <t>●</t>
        </is>
      </c>
      <c r="BT3" s="15" t="inlineStr">
        <is>
          <t>●</t>
        </is>
      </c>
      <c r="BU3" s="15" t="inlineStr">
        <is>
          <t>●</t>
        </is>
      </c>
      <c r="BV3" s="15" t="inlineStr">
        <is>
          <t>●</t>
        </is>
      </c>
      <c r="BW3" s="16" t="inlineStr">
        <is>
          <t>R</t>
        </is>
      </c>
      <c r="BX3" s="15" t="inlineStr">
        <is>
          <t>●</t>
        </is>
      </c>
      <c r="BY3" s="15" t="inlineStr">
        <is>
          <t>●</t>
        </is>
      </c>
      <c r="BZ3" s="17" t="inlineStr">
        <is>
          <t>M</t>
        </is>
      </c>
      <c r="CA3" s="15" t="inlineStr">
        <is>
          <t>●</t>
        </is>
      </c>
      <c r="CB3" s="15" t="inlineStr">
        <is>
          <t>●</t>
        </is>
      </c>
      <c r="CC3" s="16" t="inlineStr">
        <is>
          <t>R</t>
        </is>
      </c>
      <c r="CD3" s="15" t="inlineStr">
        <is>
          <t>●</t>
        </is>
      </c>
      <c r="CE3" s="15" t="inlineStr">
        <is>
          <t>●</t>
        </is>
      </c>
      <c r="CF3" s="15" t="inlineStr">
        <is>
          <t>●</t>
        </is>
      </c>
      <c r="CG3" s="15" t="inlineStr">
        <is>
          <t>●</t>
        </is>
      </c>
      <c r="CH3" s="15" t="inlineStr">
        <is>
          <t>●</t>
        </is>
      </c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4" t="inlineStr">
        <is>
          <t>·</t>
        </is>
      </c>
      <c r="CU3" s="14" t="inlineStr">
        <is>
          <t>·</t>
        </is>
      </c>
      <c r="CV3" s="14" t="inlineStr">
        <is>
          <t>·</t>
        </is>
      </c>
      <c r="CW3" s="14" t="inlineStr">
        <is>
          <t>·</t>
        </is>
      </c>
      <c r="CX3" s="15" t="inlineStr">
        <is>
          <t>●</t>
        </is>
      </c>
      <c r="CY3" s="15" t="inlineStr">
        <is>
          <t>●</t>
        </is>
      </c>
      <c r="CZ3" s="15" t="inlineStr">
        <is>
          <t>●</t>
        </is>
      </c>
      <c r="DA3" s="15" t="inlineStr">
        <is>
          <t>●</t>
        </is>
      </c>
      <c r="DB3" s="15" t="inlineStr">
        <is>
          <t>●</t>
        </is>
      </c>
      <c r="DC3" s="16" t="inlineStr">
        <is>
          <t>R</t>
        </is>
      </c>
      <c r="DD3" s="15" t="inlineStr">
        <is>
          <t>●</t>
        </is>
      </c>
      <c r="DE3" s="15" t="inlineStr">
        <is>
          <t>●</t>
        </is>
      </c>
      <c r="DF3" s="17" t="inlineStr">
        <is>
          <t>M</t>
        </is>
      </c>
      <c r="DG3" s="15" t="inlineStr">
        <is>
          <t>●</t>
        </is>
      </c>
      <c r="DH3" s="15" t="inlineStr">
        <is>
          <t>●</t>
        </is>
      </c>
      <c r="DI3" s="16" t="inlineStr">
        <is>
          <t>R</t>
        </is>
      </c>
      <c r="DJ3" s="15" t="inlineStr">
        <is>
          <t>●</t>
        </is>
      </c>
      <c r="DK3" s="15" t="inlineStr">
        <is>
          <t>●</t>
        </is>
      </c>
      <c r="DL3" s="15" t="inlineStr">
        <is>
          <t>●</t>
        </is>
      </c>
      <c r="DM3" s="15" t="inlineStr">
        <is>
          <t>●</t>
        </is>
      </c>
      <c r="DN3" s="15" t="inlineStr">
        <is>
          <t>●</t>
        </is>
      </c>
      <c r="DO3" s="12" t="n"/>
      <c r="DP3" s="12" t="n"/>
      <c r="DQ3" s="12" t="n"/>
      <c r="DR3" s="12" t="n"/>
      <c r="DS3" s="12" t="n"/>
      <c r="DT3" s="12" t="n"/>
      <c r="DU3" s="12" t="n"/>
      <c r="DV3" s="12" t="n"/>
      <c r="DW3" s="12" t="n"/>
      <c r="DX3" s="12" t="n"/>
      <c r="DY3" s="12" t="n"/>
      <c r="DZ3" s="14" t="inlineStr">
        <is>
          <t>·</t>
        </is>
      </c>
      <c r="EA3" s="14" t="inlineStr">
        <is>
          <t>·</t>
        </is>
      </c>
      <c r="EB3" s="14" t="inlineStr">
        <is>
          <t>·</t>
        </is>
      </c>
      <c r="EC3" s="14" t="inlineStr">
        <is>
          <t>·</t>
        </is>
      </c>
      <c r="ED3" s="12" t="n"/>
      <c r="EE3" s="12" t="n"/>
      <c r="EF3" s="12" t="n"/>
      <c r="EG3" s="12" t="n"/>
      <c r="EH3" s="12" t="n"/>
      <c r="EI3" s="12" t="n"/>
      <c r="EJ3" s="12" t="n"/>
      <c r="EK3" s="12" t="n"/>
      <c r="EL3" s="12" t="n"/>
      <c r="EM3" s="12" t="n"/>
      <c r="EN3" s="15" t="inlineStr">
        <is>
          <t>●</t>
        </is>
      </c>
      <c r="EO3" s="15" t="inlineStr">
        <is>
          <t>●</t>
        </is>
      </c>
      <c r="EP3" s="15" t="inlineStr">
        <is>
          <t>●</t>
        </is>
      </c>
      <c r="EQ3" s="15" t="inlineStr">
        <is>
          <t>●</t>
        </is>
      </c>
      <c r="ER3" s="15" t="inlineStr">
        <is>
          <t>●</t>
        </is>
      </c>
      <c r="ES3" s="16" t="inlineStr">
        <is>
          <t>R</t>
        </is>
      </c>
      <c r="ET3" s="15" t="inlineStr">
        <is>
          <t>●</t>
        </is>
      </c>
      <c r="EU3" s="15" t="inlineStr">
        <is>
          <t>●</t>
        </is>
      </c>
      <c r="EV3" s="17" t="inlineStr">
        <is>
          <t>M</t>
        </is>
      </c>
      <c r="EW3" s="15" t="inlineStr">
        <is>
          <t>●</t>
        </is>
      </c>
      <c r="EX3" s="15" t="inlineStr">
        <is>
          <t>●</t>
        </is>
      </c>
      <c r="EY3" s="16" t="inlineStr">
        <is>
          <t>R</t>
        </is>
      </c>
      <c r="EZ3" s="15" t="inlineStr">
        <is>
          <t>●</t>
        </is>
      </c>
      <c r="FA3" s="15" t="inlineStr">
        <is>
          <t>●</t>
        </is>
      </c>
      <c r="FB3" s="15" t="inlineStr">
        <is>
          <t>●</t>
        </is>
      </c>
      <c r="FC3" s="15" t="inlineStr">
        <is>
          <t>●</t>
        </is>
      </c>
      <c r="FD3" s="15" t="inlineStr">
        <is>
          <t>●</t>
        </is>
      </c>
      <c r="FE3" s="12" t="n"/>
      <c r="FF3" s="14" t="inlineStr">
        <is>
          <t>·</t>
        </is>
      </c>
      <c r="FG3" s="14" t="inlineStr">
        <is>
          <t>·</t>
        </is>
      </c>
      <c r="FH3" s="14" t="inlineStr">
        <is>
          <t>·</t>
        </is>
      </c>
      <c r="FI3" s="14" t="inlineStr">
        <is>
          <t>·</t>
        </is>
      </c>
      <c r="FJ3" s="12" t="n"/>
      <c r="FK3" s="12" t="n"/>
      <c r="FL3" s="12" t="n"/>
      <c r="FM3" s="12" t="n"/>
      <c r="FN3" s="12" t="n"/>
      <c r="FO3" s="12" t="n"/>
      <c r="FP3" s="12" t="n"/>
      <c r="FQ3" s="12" t="n"/>
      <c r="FR3" s="12" t="n"/>
      <c r="FS3" s="12" t="n"/>
      <c r="FT3" s="12" t="n"/>
      <c r="FU3" s="12" t="n"/>
      <c r="FV3" s="12" t="n"/>
      <c r="FW3" s="15" t="inlineStr">
        <is>
          <t>●</t>
        </is>
      </c>
      <c r="FX3" s="15" t="inlineStr">
        <is>
          <t>●</t>
        </is>
      </c>
      <c r="FY3" s="16" t="inlineStr">
        <is>
          <t>R</t>
        </is>
      </c>
      <c r="FZ3" s="15" t="inlineStr">
        <is>
          <t>●</t>
        </is>
      </c>
      <c r="GA3" s="15" t="inlineStr">
        <is>
          <t>●</t>
        </is>
      </c>
      <c r="GB3" s="12" t="n"/>
      <c r="GC3" s="12" t="n"/>
      <c r="GD3" s="12" t="n"/>
      <c r="GE3" s="12" t="n"/>
      <c r="GF3" s="12" t="n"/>
      <c r="GG3" s="12" t="n"/>
      <c r="GH3" s="12" t="n"/>
      <c r="GI3" s="12" t="n"/>
      <c r="GJ3" s="12" t="n"/>
      <c r="GK3" s="12" t="n"/>
      <c r="GL3" s="14" t="inlineStr">
        <is>
          <t>·</t>
        </is>
      </c>
      <c r="GM3" s="14" t="inlineStr">
        <is>
          <t>·</t>
        </is>
      </c>
      <c r="GN3" s="14" t="inlineStr">
        <is>
          <t>·</t>
        </is>
      </c>
      <c r="GO3" s="14" t="inlineStr">
        <is>
          <t>·</t>
        </is>
      </c>
      <c r="GP3" s="12" t="n"/>
      <c r="GQ3" s="12" t="n"/>
      <c r="GR3" s="12" t="n"/>
      <c r="GS3" s="12" t="n"/>
      <c r="GT3" s="12" t="n"/>
      <c r="GU3" s="12" t="n"/>
      <c r="GV3" s="12" t="n"/>
      <c r="GW3" s="12" t="n"/>
      <c r="GX3" s="12" t="n"/>
      <c r="GY3" s="12" t="n"/>
      <c r="GZ3" s="12" t="n"/>
      <c r="HA3" s="12" t="n"/>
      <c r="HB3" s="12" t="n"/>
      <c r="HC3" s="12" t="n"/>
      <c r="HD3" s="12" t="n"/>
      <c r="HE3" s="12" t="n"/>
      <c r="HF3" s="12" t="n"/>
      <c r="HG3" s="12" t="n"/>
      <c r="HH3" s="12" t="n"/>
      <c r="HI3" s="12" t="n"/>
      <c r="HJ3" s="12" t="n"/>
      <c r="HK3" s="12" t="n"/>
      <c r="HL3" s="12" t="n"/>
      <c r="HM3" s="12" t="n"/>
      <c r="HN3" s="12" t="n"/>
      <c r="HO3" s="12" t="n"/>
      <c r="HP3" s="12" t="n"/>
      <c r="HQ3" s="12" t="n"/>
    </row>
    <row r="4">
      <c r="A4" s="18" t="inlineStr">
        <is>
          <t>Bina</t>
        </is>
      </c>
      <c r="B4" s="19" t="inlineStr">
        <is>
          <t>●</t>
        </is>
      </c>
      <c r="C4" s="19" t="inlineStr">
        <is>
          <t>●</t>
        </is>
      </c>
      <c r="D4" s="19" t="inlineStr">
        <is>
          <t>●</t>
        </is>
      </c>
      <c r="E4" s="19" t="inlineStr">
        <is>
          <t>●</t>
        </is>
      </c>
      <c r="F4" s="19" t="inlineStr">
        <is>
          <t>●</t>
        </is>
      </c>
      <c r="G4" s="16" t="inlineStr">
        <is>
          <t>R</t>
        </is>
      </c>
      <c r="H4" s="19" t="inlineStr">
        <is>
          <t>●</t>
        </is>
      </c>
      <c r="I4" s="19" t="inlineStr">
        <is>
          <t>●</t>
        </is>
      </c>
      <c r="J4" s="17" t="inlineStr">
        <is>
          <t>M</t>
        </is>
      </c>
      <c r="K4" s="19" t="inlineStr">
        <is>
          <t>●</t>
        </is>
      </c>
      <c r="L4" s="19" t="inlineStr">
        <is>
          <t>●</t>
        </is>
      </c>
      <c r="M4" s="16" t="inlineStr">
        <is>
          <t>R</t>
        </is>
      </c>
      <c r="N4" s="19" t="inlineStr">
        <is>
          <t>●</t>
        </is>
      </c>
      <c r="O4" s="19" t="inlineStr">
        <is>
          <t>●</t>
        </is>
      </c>
      <c r="P4" s="19" t="inlineStr">
        <is>
          <t>●</t>
        </is>
      </c>
      <c r="Q4" s="19" t="inlineStr">
        <is>
          <t>●</t>
        </is>
      </c>
      <c r="R4" s="19" t="inlineStr">
        <is>
          <t>●</t>
        </is>
      </c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9" t="inlineStr">
        <is>
          <t>●</t>
        </is>
      </c>
      <c r="AI4" s="19" t="inlineStr">
        <is>
          <t>●</t>
        </is>
      </c>
      <c r="AJ4" s="19" t="inlineStr">
        <is>
          <t>●</t>
        </is>
      </c>
      <c r="AK4" s="19" t="inlineStr">
        <is>
          <t>●</t>
        </is>
      </c>
      <c r="AL4" s="19" t="inlineStr">
        <is>
          <t>●</t>
        </is>
      </c>
      <c r="AM4" s="16" t="inlineStr">
        <is>
          <t>R</t>
        </is>
      </c>
      <c r="AN4" s="17" t="inlineStr">
        <is>
          <t>M</t>
        </is>
      </c>
      <c r="AO4" s="19" t="inlineStr">
        <is>
          <t>●</t>
        </is>
      </c>
      <c r="AP4" s="19" t="inlineStr">
        <is>
          <t>●</t>
        </is>
      </c>
      <c r="AQ4" s="19" t="inlineStr">
        <is>
          <t>●</t>
        </is>
      </c>
      <c r="AR4" s="19" t="inlineStr">
        <is>
          <t>●</t>
        </is>
      </c>
      <c r="AS4" s="19" t="inlineStr">
        <is>
          <t>●</t>
        </is>
      </c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9" t="inlineStr">
        <is>
          <t>●</t>
        </is>
      </c>
      <c r="BO4" s="19" t="inlineStr">
        <is>
          <t>●</t>
        </is>
      </c>
      <c r="BP4" s="19" t="inlineStr">
        <is>
          <t>●</t>
        </is>
      </c>
      <c r="BQ4" s="19" t="inlineStr">
        <is>
          <t>●</t>
        </is>
      </c>
      <c r="BR4" s="19" t="inlineStr">
        <is>
          <t>●</t>
        </is>
      </c>
      <c r="BS4" s="16" t="inlineStr">
        <is>
          <t>R</t>
        </is>
      </c>
      <c r="BT4" s="19" t="inlineStr">
        <is>
          <t>●</t>
        </is>
      </c>
      <c r="BU4" s="19" t="inlineStr">
        <is>
          <t>●</t>
        </is>
      </c>
      <c r="BV4" s="17" t="inlineStr">
        <is>
          <t>M</t>
        </is>
      </c>
      <c r="BW4" s="19" t="inlineStr">
        <is>
          <t>●</t>
        </is>
      </c>
      <c r="BX4" s="19" t="inlineStr">
        <is>
          <t>●</t>
        </is>
      </c>
      <c r="BY4" s="16" t="inlineStr">
        <is>
          <t>R</t>
        </is>
      </c>
      <c r="BZ4" s="19" t="inlineStr">
        <is>
          <t>●</t>
        </is>
      </c>
      <c r="CA4" s="19" t="inlineStr">
        <is>
          <t>●</t>
        </is>
      </c>
      <c r="CB4" s="19" t="inlineStr">
        <is>
          <t>●</t>
        </is>
      </c>
      <c r="CC4" s="19" t="inlineStr">
        <is>
          <t>●</t>
        </is>
      </c>
      <c r="CD4" s="19" t="inlineStr">
        <is>
          <t>●</t>
        </is>
      </c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9" t="inlineStr">
        <is>
          <t>●</t>
        </is>
      </c>
      <c r="CU4" s="12" t="n"/>
      <c r="CV4" s="12" t="n"/>
      <c r="CW4" s="12" t="n"/>
      <c r="CX4" s="12" t="n"/>
      <c r="CY4" s="12" t="n"/>
      <c r="CZ4" s="12" t="n"/>
      <c r="DA4" s="12" t="n"/>
      <c r="DB4" s="12" t="n"/>
      <c r="DC4" s="12" t="n"/>
      <c r="DD4" s="12" t="n"/>
      <c r="DE4" s="12" t="n"/>
      <c r="DF4" s="12" t="n"/>
      <c r="DG4" s="12" t="n"/>
      <c r="DH4" s="12" t="n"/>
      <c r="DI4" s="12" t="n"/>
      <c r="DJ4" s="12" t="n"/>
      <c r="DK4" s="12" t="n"/>
      <c r="DL4" s="12" t="n"/>
      <c r="DM4" s="12" t="n"/>
      <c r="DN4" s="12" t="n"/>
      <c r="DO4" s="12" t="n"/>
      <c r="DP4" s="12" t="n"/>
      <c r="DQ4" s="12" t="n"/>
      <c r="DR4" s="12" t="n"/>
      <c r="DS4" s="12" t="n"/>
      <c r="DT4" s="12" t="n"/>
      <c r="DU4" s="12" t="n"/>
      <c r="DV4" s="12" t="n"/>
      <c r="DW4" s="12" t="n"/>
      <c r="DX4" s="12" t="n"/>
      <c r="DY4" s="12" t="n"/>
      <c r="DZ4" s="19" t="inlineStr">
        <is>
          <t>●</t>
        </is>
      </c>
      <c r="EA4" s="19" t="inlineStr">
        <is>
          <t>●</t>
        </is>
      </c>
      <c r="EB4" s="19" t="inlineStr">
        <is>
          <t>●</t>
        </is>
      </c>
      <c r="EC4" s="19" t="inlineStr">
        <is>
          <t>●</t>
        </is>
      </c>
      <c r="ED4" s="19" t="inlineStr">
        <is>
          <t>●</t>
        </is>
      </c>
      <c r="EE4" s="16" t="inlineStr">
        <is>
          <t>R</t>
        </is>
      </c>
      <c r="EF4" s="19" t="inlineStr">
        <is>
          <t>●</t>
        </is>
      </c>
      <c r="EG4" s="19" t="inlineStr">
        <is>
          <t>●</t>
        </is>
      </c>
      <c r="EH4" s="17" t="inlineStr">
        <is>
          <t>M</t>
        </is>
      </c>
      <c r="EI4" s="19" t="inlineStr">
        <is>
          <t>●</t>
        </is>
      </c>
      <c r="EJ4" s="19" t="inlineStr">
        <is>
          <t>●</t>
        </is>
      </c>
      <c r="EK4" s="16" t="inlineStr">
        <is>
          <t>R</t>
        </is>
      </c>
      <c r="EL4" s="19" t="inlineStr">
        <is>
          <t>●</t>
        </is>
      </c>
      <c r="EM4" s="19" t="inlineStr">
        <is>
          <t>●</t>
        </is>
      </c>
      <c r="EN4" s="19" t="inlineStr">
        <is>
          <t>●</t>
        </is>
      </c>
      <c r="EO4" s="19" t="inlineStr">
        <is>
          <t>●</t>
        </is>
      </c>
      <c r="EP4" s="19" t="inlineStr">
        <is>
          <t>●</t>
        </is>
      </c>
      <c r="EQ4" s="12" t="n"/>
      <c r="ER4" s="12" t="n"/>
      <c r="ES4" s="12" t="n"/>
      <c r="ET4" s="12" t="n"/>
      <c r="EU4" s="12" t="n"/>
      <c r="EV4" s="12" t="n"/>
      <c r="EW4" s="12" t="n"/>
      <c r="EX4" s="12" t="n"/>
      <c r="EY4" s="12" t="n"/>
      <c r="EZ4" s="12" t="n"/>
      <c r="FA4" s="12" t="n"/>
      <c r="FB4" s="12" t="n"/>
      <c r="FC4" s="12" t="n"/>
      <c r="FD4" s="12" t="n"/>
      <c r="FE4" s="12" t="n"/>
      <c r="FF4" s="14" t="inlineStr">
        <is>
          <t>·</t>
        </is>
      </c>
      <c r="FG4" s="14" t="inlineStr">
        <is>
          <t>·</t>
        </is>
      </c>
      <c r="FH4" s="14" t="inlineStr">
        <is>
          <t>·</t>
        </is>
      </c>
      <c r="FI4" s="14" t="inlineStr">
        <is>
          <t>·</t>
        </is>
      </c>
      <c r="FJ4" s="14" t="inlineStr">
        <is>
          <t>·</t>
        </is>
      </c>
      <c r="FK4" s="14" t="inlineStr">
        <is>
          <t>·</t>
        </is>
      </c>
      <c r="FL4" s="14" t="inlineStr">
        <is>
          <t>·</t>
        </is>
      </c>
      <c r="FM4" s="14" t="inlineStr">
        <is>
          <t>·</t>
        </is>
      </c>
      <c r="FN4" s="14" t="inlineStr">
        <is>
          <t>·</t>
        </is>
      </c>
      <c r="FO4" s="14" t="inlineStr">
        <is>
          <t>·</t>
        </is>
      </c>
      <c r="FP4" s="14" t="inlineStr">
        <is>
          <t>·</t>
        </is>
      </c>
      <c r="FQ4" s="14" t="inlineStr">
        <is>
          <t>·</t>
        </is>
      </c>
      <c r="FR4" s="14" t="inlineStr">
        <is>
          <t>·</t>
        </is>
      </c>
      <c r="FS4" s="14" t="inlineStr">
        <is>
          <t>·</t>
        </is>
      </c>
      <c r="FT4" s="14" t="inlineStr">
        <is>
          <t>·</t>
        </is>
      </c>
      <c r="FU4" s="14" t="inlineStr">
        <is>
          <t>·</t>
        </is>
      </c>
      <c r="FV4" s="14" t="inlineStr">
        <is>
          <t>·</t>
        </is>
      </c>
      <c r="FW4" s="14" t="inlineStr">
        <is>
          <t>·</t>
        </is>
      </c>
      <c r="FX4" s="14" t="inlineStr">
        <is>
          <t>·</t>
        </is>
      </c>
      <c r="FY4" s="14" t="inlineStr">
        <is>
          <t>·</t>
        </is>
      </c>
      <c r="FZ4" s="14" t="inlineStr">
        <is>
          <t>·</t>
        </is>
      </c>
      <c r="GA4" s="14" t="inlineStr">
        <is>
          <t>·</t>
        </is>
      </c>
      <c r="GB4" s="14" t="inlineStr">
        <is>
          <t>·</t>
        </is>
      </c>
      <c r="GC4" s="14" t="inlineStr">
        <is>
          <t>·</t>
        </is>
      </c>
      <c r="GD4" s="14" t="inlineStr">
        <is>
          <t>·</t>
        </is>
      </c>
      <c r="GE4" s="14" t="inlineStr">
        <is>
          <t>·</t>
        </is>
      </c>
      <c r="GF4" s="14" t="inlineStr">
        <is>
          <t>·</t>
        </is>
      </c>
      <c r="GG4" s="14" t="inlineStr">
        <is>
          <t>·</t>
        </is>
      </c>
      <c r="GH4" s="14" t="inlineStr">
        <is>
          <t>·</t>
        </is>
      </c>
      <c r="GI4" s="14" t="inlineStr">
        <is>
          <t>·</t>
        </is>
      </c>
      <c r="GJ4" s="14" t="inlineStr">
        <is>
          <t>·</t>
        </is>
      </c>
      <c r="GK4" s="14" t="inlineStr">
        <is>
          <t>·</t>
        </is>
      </c>
      <c r="GL4" s="14" t="inlineStr">
        <is>
          <t>·</t>
        </is>
      </c>
      <c r="GM4" s="14" t="inlineStr">
        <is>
          <t>·</t>
        </is>
      </c>
      <c r="GN4" s="14" t="inlineStr">
        <is>
          <t>·</t>
        </is>
      </c>
      <c r="GO4" s="14" t="inlineStr">
        <is>
          <t>·</t>
        </is>
      </c>
      <c r="GP4" s="14" t="inlineStr">
        <is>
          <t>·</t>
        </is>
      </c>
      <c r="GQ4" s="14" t="inlineStr">
        <is>
          <t>·</t>
        </is>
      </c>
      <c r="GR4" s="14" t="inlineStr">
        <is>
          <t>·</t>
        </is>
      </c>
      <c r="GS4" s="14" t="inlineStr">
        <is>
          <t>·</t>
        </is>
      </c>
      <c r="GT4" s="14" t="inlineStr">
        <is>
          <t>·</t>
        </is>
      </c>
      <c r="GU4" s="14" t="inlineStr">
        <is>
          <t>·</t>
        </is>
      </c>
      <c r="GV4" s="14" t="inlineStr">
        <is>
          <t>·</t>
        </is>
      </c>
      <c r="GW4" s="14" t="inlineStr">
        <is>
          <t>·</t>
        </is>
      </c>
      <c r="GX4" s="14" t="inlineStr">
        <is>
          <t>·</t>
        </is>
      </c>
      <c r="GY4" s="14" t="inlineStr">
        <is>
          <t>·</t>
        </is>
      </c>
      <c r="GZ4" s="14" t="inlineStr">
        <is>
          <t>·</t>
        </is>
      </c>
      <c r="HA4" s="14" t="inlineStr">
        <is>
          <t>·</t>
        </is>
      </c>
      <c r="HB4" s="14" t="inlineStr">
        <is>
          <t>·</t>
        </is>
      </c>
      <c r="HC4" s="14" t="inlineStr">
        <is>
          <t>·</t>
        </is>
      </c>
      <c r="HD4" s="14" t="inlineStr">
        <is>
          <t>·</t>
        </is>
      </c>
      <c r="HE4" s="14" t="inlineStr">
        <is>
          <t>·</t>
        </is>
      </c>
      <c r="HF4" s="14" t="inlineStr">
        <is>
          <t>·</t>
        </is>
      </c>
      <c r="HG4" s="14" t="inlineStr">
        <is>
          <t>·</t>
        </is>
      </c>
      <c r="HH4" s="14" t="inlineStr">
        <is>
          <t>·</t>
        </is>
      </c>
      <c r="HI4" s="14" t="inlineStr">
        <is>
          <t>·</t>
        </is>
      </c>
      <c r="HJ4" s="14" t="inlineStr">
        <is>
          <t>·</t>
        </is>
      </c>
      <c r="HK4" s="14" t="inlineStr">
        <is>
          <t>·</t>
        </is>
      </c>
      <c r="HL4" s="14" t="inlineStr">
        <is>
          <t>·</t>
        </is>
      </c>
      <c r="HM4" s="14" t="inlineStr">
        <is>
          <t>·</t>
        </is>
      </c>
      <c r="HN4" s="14" t="inlineStr">
        <is>
          <t>·</t>
        </is>
      </c>
      <c r="HO4" s="14" t="inlineStr">
        <is>
          <t>·</t>
        </is>
      </c>
      <c r="HP4" s="14" t="inlineStr">
        <is>
          <t>·</t>
        </is>
      </c>
      <c r="HQ4" s="14" t="inlineStr">
        <is>
          <t>·</t>
        </is>
      </c>
    </row>
    <row r="5">
      <c r="A5" s="20" t="inlineStr">
        <is>
          <t>Cleo</t>
        </is>
      </c>
      <c r="B5" s="21" t="inlineStr">
        <is>
          <t>●</t>
        </is>
      </c>
      <c r="C5" s="21" t="inlineStr">
        <is>
          <t>●</t>
        </is>
      </c>
      <c r="D5" s="16" t="inlineStr">
        <is>
          <t>R</t>
        </is>
      </c>
      <c r="E5" s="21" t="inlineStr">
        <is>
          <t>●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4" t="inlineStr">
        <is>
          <t>·</t>
        </is>
      </c>
      <c r="AC5" s="14" t="inlineStr">
        <is>
          <t>·</t>
        </is>
      </c>
      <c r="AD5" s="14" t="inlineStr">
        <is>
          <t>·</t>
        </is>
      </c>
      <c r="AE5" s="14" t="inlineStr">
        <is>
          <t>·</t>
        </is>
      </c>
      <c r="AF5" s="14" t="inlineStr">
        <is>
          <t>·</t>
        </is>
      </c>
      <c r="AG5" s="14" t="inlineStr">
        <is>
          <t>·</t>
        </is>
      </c>
      <c r="AH5" s="21" t="inlineStr">
        <is>
          <t>●</t>
        </is>
      </c>
      <c r="AI5" s="21" t="inlineStr">
        <is>
          <t>●</t>
        </is>
      </c>
      <c r="AJ5" s="21" t="inlineStr">
        <is>
          <t>●</t>
        </is>
      </c>
      <c r="AK5" s="21" t="inlineStr">
        <is>
          <t>●</t>
        </is>
      </c>
      <c r="AL5" s="21" t="inlineStr">
        <is>
          <t>●</t>
        </is>
      </c>
      <c r="AM5" s="16" t="inlineStr">
        <is>
          <t>R</t>
        </is>
      </c>
      <c r="AN5" s="21" t="inlineStr">
        <is>
          <t>●</t>
        </is>
      </c>
      <c r="AO5" s="21" t="inlineStr">
        <is>
          <t>●</t>
        </is>
      </c>
      <c r="AP5" s="17" t="inlineStr">
        <is>
          <t>M</t>
        </is>
      </c>
      <c r="AQ5" s="21" t="inlineStr">
        <is>
          <t>●</t>
        </is>
      </c>
      <c r="AR5" s="21" t="inlineStr">
        <is>
          <t>●</t>
        </is>
      </c>
      <c r="AS5" s="16" t="inlineStr">
        <is>
          <t>R</t>
        </is>
      </c>
      <c r="AT5" s="21" t="inlineStr">
        <is>
          <t>●</t>
        </is>
      </c>
      <c r="AU5" s="21" t="inlineStr">
        <is>
          <t>●</t>
        </is>
      </c>
      <c r="AV5" s="21" t="inlineStr">
        <is>
          <t>●</t>
        </is>
      </c>
      <c r="AW5" s="21" t="inlineStr">
        <is>
          <t>●</t>
        </is>
      </c>
      <c r="AX5" s="21" t="inlineStr">
        <is>
          <t>●</t>
        </is>
      </c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4" t="inlineStr">
        <is>
          <t>·</t>
        </is>
      </c>
      <c r="BI5" s="14" t="inlineStr">
        <is>
          <t>·</t>
        </is>
      </c>
      <c r="BJ5" s="14" t="inlineStr">
        <is>
          <t>·</t>
        </is>
      </c>
      <c r="BK5" s="14" t="inlineStr">
        <is>
          <t>·</t>
        </is>
      </c>
      <c r="BL5" s="14" t="inlineStr">
        <is>
          <t>·</t>
        </is>
      </c>
      <c r="BM5" s="14" t="inlineStr">
        <is>
          <t>·</t>
        </is>
      </c>
      <c r="BN5" s="21" t="inlineStr">
        <is>
          <t>●</t>
        </is>
      </c>
      <c r="BO5" s="21" t="inlineStr">
        <is>
          <t>●</t>
        </is>
      </c>
      <c r="BP5" s="16" t="inlineStr">
        <is>
          <t>R</t>
        </is>
      </c>
      <c r="BQ5" s="21" t="inlineStr">
        <is>
          <t>●</t>
        </is>
      </c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4" t="inlineStr">
        <is>
          <t>·</t>
        </is>
      </c>
      <c r="CO5" s="14" t="inlineStr">
        <is>
          <t>·</t>
        </is>
      </c>
      <c r="CP5" s="14" t="inlineStr">
        <is>
          <t>·</t>
        </is>
      </c>
      <c r="CQ5" s="14" t="inlineStr">
        <is>
          <t>·</t>
        </is>
      </c>
      <c r="CR5" s="14" t="inlineStr">
        <is>
          <t>·</t>
        </is>
      </c>
      <c r="CS5" s="14" t="inlineStr">
        <is>
          <t>·</t>
        </is>
      </c>
      <c r="CT5" s="21" t="inlineStr">
        <is>
          <t>●</t>
        </is>
      </c>
      <c r="CU5" s="21" t="inlineStr">
        <is>
          <t>●</t>
        </is>
      </c>
      <c r="CV5" s="21" t="inlineStr">
        <is>
          <t>●</t>
        </is>
      </c>
      <c r="CW5" s="21" t="inlineStr">
        <is>
          <t>●</t>
        </is>
      </c>
      <c r="CX5" s="21" t="inlineStr">
        <is>
          <t>●</t>
        </is>
      </c>
      <c r="CY5" s="16" t="inlineStr">
        <is>
          <t>R</t>
        </is>
      </c>
      <c r="CZ5" s="21" t="inlineStr">
        <is>
          <t>●</t>
        </is>
      </c>
      <c r="DA5" s="21" t="inlineStr">
        <is>
          <t>●</t>
        </is>
      </c>
      <c r="DB5" s="17" t="inlineStr">
        <is>
          <t>M</t>
        </is>
      </c>
      <c r="DC5" s="21" t="inlineStr">
        <is>
          <t>●</t>
        </is>
      </c>
      <c r="DD5" s="21" t="inlineStr">
        <is>
          <t>●</t>
        </is>
      </c>
      <c r="DE5" s="16" t="inlineStr">
        <is>
          <t>R</t>
        </is>
      </c>
      <c r="DF5" s="21" t="inlineStr">
        <is>
          <t>●</t>
        </is>
      </c>
      <c r="DG5" s="21" t="inlineStr">
        <is>
          <t>●</t>
        </is>
      </c>
      <c r="DH5" s="21" t="inlineStr">
        <is>
          <t>●</t>
        </is>
      </c>
      <c r="DI5" s="21" t="inlineStr">
        <is>
          <t>●</t>
        </is>
      </c>
      <c r="DJ5" s="21" t="inlineStr">
        <is>
          <t>●</t>
        </is>
      </c>
      <c r="DK5" s="12" t="n"/>
      <c r="DL5" s="12" t="n"/>
      <c r="DM5" s="12" t="n"/>
      <c r="DN5" s="12" t="n"/>
      <c r="DO5" s="12" t="n"/>
      <c r="DP5" s="12" t="n"/>
      <c r="DQ5" s="12" t="n"/>
      <c r="DR5" s="12" t="n"/>
      <c r="DS5" s="12" t="n"/>
      <c r="DT5" s="14" t="inlineStr">
        <is>
          <t>·</t>
        </is>
      </c>
      <c r="DU5" s="14" t="inlineStr">
        <is>
          <t>·</t>
        </is>
      </c>
      <c r="DV5" s="14" t="inlineStr">
        <is>
          <t>·</t>
        </is>
      </c>
      <c r="DW5" s="14" t="inlineStr">
        <is>
          <t>·</t>
        </is>
      </c>
      <c r="DX5" s="14" t="inlineStr">
        <is>
          <t>·</t>
        </is>
      </c>
      <c r="DY5" s="14" t="inlineStr">
        <is>
          <t>·</t>
        </is>
      </c>
      <c r="DZ5" s="12" t="n"/>
      <c r="EA5" s="12" t="n"/>
      <c r="EB5" s="12" t="n"/>
      <c r="EC5" s="12" t="n"/>
      <c r="ED5" s="12" t="n"/>
      <c r="EE5" s="21" t="inlineStr">
        <is>
          <t>●</t>
        </is>
      </c>
      <c r="EF5" s="21" t="inlineStr">
        <is>
          <t>●</t>
        </is>
      </c>
      <c r="EG5" s="21" t="inlineStr">
        <is>
          <t>●</t>
        </is>
      </c>
      <c r="EH5" s="21" t="inlineStr">
        <is>
          <t>●</t>
        </is>
      </c>
      <c r="EI5" s="16" t="inlineStr">
        <is>
          <t>R</t>
        </is>
      </c>
      <c r="EJ5" s="21" t="inlineStr">
        <is>
          <t>●</t>
        </is>
      </c>
      <c r="EK5" s="21" t="inlineStr">
        <is>
          <t>●</t>
        </is>
      </c>
      <c r="EL5" s="21" t="inlineStr">
        <is>
          <t>●</t>
        </is>
      </c>
      <c r="EM5" s="21" t="inlineStr">
        <is>
          <t>●</t>
        </is>
      </c>
      <c r="EN5" s="12" t="n"/>
      <c r="EO5" s="12" t="n"/>
      <c r="EP5" s="12" t="n"/>
      <c r="EQ5" s="12" t="n"/>
      <c r="ER5" s="12" t="n"/>
      <c r="ES5" s="12" t="n"/>
      <c r="ET5" s="12" t="n"/>
      <c r="EU5" s="12" t="n"/>
      <c r="EV5" s="12" t="n"/>
      <c r="EW5" s="12" t="n"/>
      <c r="EX5" s="12" t="n"/>
      <c r="EY5" s="12" t="n"/>
      <c r="EZ5" s="14" t="inlineStr">
        <is>
          <t>·</t>
        </is>
      </c>
      <c r="FA5" s="14" t="inlineStr">
        <is>
          <t>·</t>
        </is>
      </c>
      <c r="FB5" s="14" t="inlineStr">
        <is>
          <t>·</t>
        </is>
      </c>
      <c r="FC5" s="14" t="inlineStr">
        <is>
          <t>·</t>
        </is>
      </c>
      <c r="FD5" s="14" t="inlineStr">
        <is>
          <t>·</t>
        </is>
      </c>
      <c r="FE5" s="14" t="inlineStr">
        <is>
          <t>·</t>
        </is>
      </c>
      <c r="FF5" s="21" t="inlineStr">
        <is>
          <t>●</t>
        </is>
      </c>
      <c r="FG5" s="21" t="inlineStr">
        <is>
          <t>●</t>
        </is>
      </c>
      <c r="FH5" s="21" t="inlineStr">
        <is>
          <t>●</t>
        </is>
      </c>
      <c r="FI5" s="21" t="inlineStr">
        <is>
          <t>●</t>
        </is>
      </c>
      <c r="FJ5" s="21" t="inlineStr">
        <is>
          <t>●</t>
        </is>
      </c>
      <c r="FK5" s="16" t="inlineStr">
        <is>
          <t>R</t>
        </is>
      </c>
      <c r="FL5" s="21" t="inlineStr">
        <is>
          <t>●</t>
        </is>
      </c>
      <c r="FM5" s="21" t="inlineStr">
        <is>
          <t>●</t>
        </is>
      </c>
      <c r="FN5" s="17" t="inlineStr">
        <is>
          <t>M</t>
        </is>
      </c>
      <c r="FO5" s="21" t="inlineStr">
        <is>
          <t>●</t>
        </is>
      </c>
      <c r="FP5" s="21" t="inlineStr">
        <is>
          <t>●</t>
        </is>
      </c>
      <c r="FQ5" s="16" t="inlineStr">
        <is>
          <t>R</t>
        </is>
      </c>
      <c r="FR5" s="21" t="inlineStr">
        <is>
          <t>●</t>
        </is>
      </c>
      <c r="FS5" s="21" t="inlineStr">
        <is>
          <t>●</t>
        </is>
      </c>
      <c r="FT5" s="21" t="inlineStr">
        <is>
          <t>●</t>
        </is>
      </c>
      <c r="FU5" s="21" t="inlineStr">
        <is>
          <t>●</t>
        </is>
      </c>
      <c r="FV5" s="21" t="inlineStr">
        <is>
          <t>●</t>
        </is>
      </c>
      <c r="FW5" s="12" t="n"/>
      <c r="FX5" s="12" t="n"/>
      <c r="FY5" s="12" t="n"/>
      <c r="FZ5" s="12" t="n"/>
      <c r="GA5" s="12" t="n"/>
      <c r="GB5" s="12" t="n"/>
      <c r="GC5" s="12" t="n"/>
      <c r="GD5" s="12" t="n"/>
      <c r="GE5" s="12" t="n"/>
      <c r="GF5" s="14" t="inlineStr">
        <is>
          <t>·</t>
        </is>
      </c>
      <c r="GG5" s="14" t="inlineStr">
        <is>
          <t>·</t>
        </is>
      </c>
      <c r="GH5" s="14" t="inlineStr">
        <is>
          <t>·</t>
        </is>
      </c>
      <c r="GI5" s="14" t="inlineStr">
        <is>
          <t>·</t>
        </is>
      </c>
      <c r="GJ5" s="14" t="inlineStr">
        <is>
          <t>·</t>
        </is>
      </c>
      <c r="GK5" s="14" t="inlineStr">
        <is>
          <t>·</t>
        </is>
      </c>
      <c r="GL5" s="21" t="inlineStr">
        <is>
          <t>●</t>
        </is>
      </c>
      <c r="GM5" s="21" t="inlineStr">
        <is>
          <t>●</t>
        </is>
      </c>
      <c r="GN5" s="16" t="inlineStr">
        <is>
          <t>R</t>
        </is>
      </c>
      <c r="GO5" s="21" t="inlineStr">
        <is>
          <t>●</t>
        </is>
      </c>
      <c r="GP5" s="21" t="inlineStr">
        <is>
          <t>●</t>
        </is>
      </c>
      <c r="GQ5" s="12" t="n"/>
      <c r="GR5" s="12" t="n"/>
      <c r="GS5" s="12" t="n"/>
      <c r="GT5" s="12" t="n"/>
      <c r="GU5" s="12" t="n"/>
      <c r="GV5" s="12" t="n"/>
      <c r="GW5" s="12" t="n"/>
      <c r="GX5" s="12" t="n"/>
      <c r="GY5" s="12" t="n"/>
      <c r="GZ5" s="12" t="n"/>
      <c r="HA5" s="12" t="n"/>
      <c r="HB5" s="12" t="n"/>
      <c r="HC5" s="12" t="n"/>
      <c r="HD5" s="12" t="n"/>
      <c r="HE5" s="12" t="n"/>
      <c r="HF5" s="12" t="n"/>
      <c r="HG5" s="12" t="n"/>
      <c r="HH5" s="12" t="n"/>
      <c r="HI5" s="12" t="n"/>
      <c r="HJ5" s="12" t="n"/>
      <c r="HK5" s="12" t="n"/>
      <c r="HL5" s="14" t="inlineStr">
        <is>
          <t>·</t>
        </is>
      </c>
      <c r="HM5" s="14" t="inlineStr">
        <is>
          <t>·</t>
        </is>
      </c>
      <c r="HN5" s="14" t="inlineStr">
        <is>
          <t>·</t>
        </is>
      </c>
      <c r="HO5" s="14" t="inlineStr">
        <is>
          <t>·</t>
        </is>
      </c>
      <c r="HP5" s="14" t="inlineStr">
        <is>
          <t>·</t>
        </is>
      </c>
      <c r="HQ5" s="14" t="inlineStr">
        <is>
          <t>·</t>
        </is>
      </c>
    </row>
    <row r="6">
      <c r="A6" s="22" t="inlineStr">
        <is>
          <t>Dario</t>
        </is>
      </c>
      <c r="B6" s="14" t="inlineStr">
        <is>
          <t>·</t>
        </is>
      </c>
      <c r="C6" s="14" t="inlineStr">
        <is>
          <t>·</t>
        </is>
      </c>
      <c r="D6" s="14" t="inlineStr">
        <is>
          <t>·</t>
        </is>
      </c>
      <c r="E6" s="14" t="inlineStr">
        <is>
          <t>·</t>
        </is>
      </c>
      <c r="F6" s="14" t="inlineStr">
        <is>
          <t>·</t>
        </is>
      </c>
      <c r="G6" s="14" t="inlineStr">
        <is>
          <t>·</t>
        </is>
      </c>
      <c r="H6" s="14" t="inlineStr">
        <is>
          <t>·</t>
        </is>
      </c>
      <c r="I6" s="14" t="inlineStr">
        <is>
          <t>·</t>
        </is>
      </c>
      <c r="J6" s="23" t="inlineStr">
        <is>
          <t>●</t>
        </is>
      </c>
      <c r="K6" s="23" t="inlineStr">
        <is>
          <t>●</t>
        </is>
      </c>
      <c r="L6" s="23" t="inlineStr">
        <is>
          <t>●</t>
        </is>
      </c>
      <c r="M6" s="23" t="inlineStr">
        <is>
          <t>●</t>
        </is>
      </c>
      <c r="N6" s="23" t="inlineStr">
        <is>
          <t>●</t>
        </is>
      </c>
      <c r="O6" s="16" t="inlineStr">
        <is>
          <t>R</t>
        </is>
      </c>
      <c r="P6" s="23" t="inlineStr">
        <is>
          <t>●</t>
        </is>
      </c>
      <c r="Q6" s="23" t="inlineStr">
        <is>
          <t>●</t>
        </is>
      </c>
      <c r="R6" s="17" t="inlineStr">
        <is>
          <t>M</t>
        </is>
      </c>
      <c r="S6" s="23" t="inlineStr">
        <is>
          <t>●</t>
        </is>
      </c>
      <c r="T6" s="23" t="inlineStr">
        <is>
          <t>●</t>
        </is>
      </c>
      <c r="U6" s="16" t="inlineStr">
        <is>
          <t>R</t>
        </is>
      </c>
      <c r="V6" s="23" t="inlineStr">
        <is>
          <t>●</t>
        </is>
      </c>
      <c r="W6" s="23" t="inlineStr">
        <is>
          <t>●</t>
        </is>
      </c>
      <c r="X6" s="23" t="inlineStr">
        <is>
          <t>●</t>
        </is>
      </c>
      <c r="Y6" s="23" t="inlineStr">
        <is>
          <t>●</t>
        </is>
      </c>
      <c r="Z6" s="23" t="inlineStr">
        <is>
          <t>●</t>
        </is>
      </c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23" t="inlineStr">
        <is>
          <t>●</t>
        </is>
      </c>
      <c r="AR6" s="23" t="inlineStr">
        <is>
          <t>●</t>
        </is>
      </c>
      <c r="AS6" s="23" t="inlineStr">
        <is>
          <t>●</t>
        </is>
      </c>
      <c r="AT6" s="23" t="inlineStr">
        <is>
          <t>●</t>
        </is>
      </c>
      <c r="AU6" s="23" t="inlineStr">
        <is>
          <t>●</t>
        </is>
      </c>
      <c r="AV6" s="16" t="inlineStr">
        <is>
          <t>R</t>
        </is>
      </c>
      <c r="AW6" s="23" t="inlineStr">
        <is>
          <t>●</t>
        </is>
      </c>
      <c r="AX6" s="23" t="inlineStr">
        <is>
          <t>●</t>
        </is>
      </c>
      <c r="AY6" s="17" t="inlineStr">
        <is>
          <t>M</t>
        </is>
      </c>
      <c r="AZ6" s="23" t="inlineStr">
        <is>
          <t>●</t>
        </is>
      </c>
      <c r="BA6" s="23" t="inlineStr">
        <is>
          <t>●</t>
        </is>
      </c>
      <c r="BB6" s="16" t="inlineStr">
        <is>
          <t>R</t>
        </is>
      </c>
      <c r="BC6" s="23" t="inlineStr">
        <is>
          <t>●</t>
        </is>
      </c>
      <c r="BD6" s="23" t="inlineStr">
        <is>
          <t>●</t>
        </is>
      </c>
      <c r="BE6" s="23" t="inlineStr">
        <is>
          <t>●</t>
        </is>
      </c>
      <c r="BF6" s="23" t="inlineStr">
        <is>
          <t>●</t>
        </is>
      </c>
      <c r="BG6" s="23" t="inlineStr">
        <is>
          <t>●</t>
        </is>
      </c>
      <c r="BH6" s="12" t="n"/>
      <c r="BI6" s="12" t="n"/>
      <c r="BJ6" s="12" t="n"/>
      <c r="BK6" s="12" t="n"/>
      <c r="BL6" s="12" t="n"/>
      <c r="BM6" s="12" t="n"/>
      <c r="BN6" s="14" t="inlineStr">
        <is>
          <t>·</t>
        </is>
      </c>
      <c r="BO6" s="14" t="inlineStr">
        <is>
          <t>·</t>
        </is>
      </c>
      <c r="BP6" s="14" t="inlineStr">
        <is>
          <t>·</t>
        </is>
      </c>
      <c r="BQ6" s="14" t="inlineStr">
        <is>
          <t>·</t>
        </is>
      </c>
      <c r="BR6" s="14" t="inlineStr">
        <is>
          <t>·</t>
        </is>
      </c>
      <c r="BS6" s="14" t="inlineStr">
        <is>
          <t>·</t>
        </is>
      </c>
      <c r="BT6" s="14" t="inlineStr">
        <is>
          <t>·</t>
        </is>
      </c>
      <c r="BU6" s="14" t="inlineStr">
        <is>
          <t>·</t>
        </is>
      </c>
      <c r="BV6" s="14" t="inlineStr">
        <is>
          <t>·</t>
        </is>
      </c>
      <c r="BW6" s="14" t="inlineStr">
        <is>
          <t>·</t>
        </is>
      </c>
      <c r="BX6" s="14" t="inlineStr">
        <is>
          <t>·</t>
        </is>
      </c>
      <c r="BY6" s="14" t="inlineStr">
        <is>
          <t>·</t>
        </is>
      </c>
      <c r="BZ6" s="14" t="inlineStr">
        <is>
          <t>·</t>
        </is>
      </c>
      <c r="CA6" s="14" t="inlineStr">
        <is>
          <t>·</t>
        </is>
      </c>
      <c r="CB6" s="14" t="inlineStr">
        <is>
          <t>·</t>
        </is>
      </c>
      <c r="CC6" s="14" t="inlineStr">
        <is>
          <t>·</t>
        </is>
      </c>
      <c r="CD6" s="14" t="inlineStr">
        <is>
          <t>·</t>
        </is>
      </c>
      <c r="CE6" s="14" t="inlineStr">
        <is>
          <t>·</t>
        </is>
      </c>
      <c r="CF6" s="14" t="inlineStr">
        <is>
          <t>·</t>
        </is>
      </c>
      <c r="CG6" s="14" t="inlineStr">
        <is>
          <t>·</t>
        </is>
      </c>
      <c r="CH6" s="14" t="inlineStr">
        <is>
          <t>·</t>
        </is>
      </c>
      <c r="CI6" s="14" t="inlineStr">
        <is>
          <t>·</t>
        </is>
      </c>
      <c r="CJ6" s="14" t="inlineStr">
        <is>
          <t>·</t>
        </is>
      </c>
      <c r="CK6" s="14" t="inlineStr">
        <is>
          <t>·</t>
        </is>
      </c>
      <c r="CL6" s="14" t="inlineStr">
        <is>
          <t>·</t>
        </is>
      </c>
      <c r="CM6" s="14" t="inlineStr">
        <is>
          <t>·</t>
        </is>
      </c>
      <c r="CN6" s="14" t="inlineStr">
        <is>
          <t>·</t>
        </is>
      </c>
      <c r="CO6" s="14" t="inlineStr">
        <is>
          <t>·</t>
        </is>
      </c>
      <c r="CP6" s="14" t="inlineStr">
        <is>
          <t>·</t>
        </is>
      </c>
      <c r="CQ6" s="14" t="inlineStr">
        <is>
          <t>·</t>
        </is>
      </c>
      <c r="CR6" s="14" t="inlineStr">
        <is>
          <t>·</t>
        </is>
      </c>
      <c r="CS6" s="14" t="inlineStr">
        <is>
          <t>·</t>
        </is>
      </c>
      <c r="CT6" s="12" t="n"/>
      <c r="CU6" s="23" t="inlineStr">
        <is>
          <t>●</t>
        </is>
      </c>
      <c r="CV6" s="23" t="inlineStr">
        <is>
          <t>●</t>
        </is>
      </c>
      <c r="CW6" s="23" t="inlineStr">
        <is>
          <t>●</t>
        </is>
      </c>
      <c r="CX6" s="12" t="n"/>
      <c r="CY6" s="12" t="n"/>
      <c r="CZ6" s="12" t="n"/>
      <c r="DA6" s="12" t="n"/>
      <c r="DB6" s="12" t="n"/>
      <c r="DC6" s="12" t="n"/>
      <c r="DD6" s="12" t="n"/>
      <c r="DE6" s="12" t="n"/>
      <c r="DF6" s="12" t="n"/>
      <c r="DG6" s="12" t="n"/>
      <c r="DH6" s="12" t="n"/>
      <c r="DI6" s="12" t="n"/>
      <c r="DJ6" s="12" t="n"/>
      <c r="DK6" s="12" t="n"/>
      <c r="DL6" s="12" t="n"/>
      <c r="DM6" s="12" t="n"/>
      <c r="DN6" s="12" t="n"/>
      <c r="DO6" s="12" t="n"/>
      <c r="DP6" s="12" t="n"/>
      <c r="DQ6" s="12" t="n"/>
      <c r="DR6" s="12" t="n"/>
      <c r="DS6" s="12" t="n"/>
      <c r="DT6" s="12" t="n"/>
      <c r="DU6" s="12" t="n"/>
      <c r="DV6" s="12" t="n"/>
      <c r="DW6" s="12" t="n"/>
      <c r="DX6" s="12" t="n"/>
      <c r="DY6" s="12" t="n"/>
      <c r="DZ6" s="23" t="inlineStr">
        <is>
          <t>●</t>
        </is>
      </c>
      <c r="EA6" s="23" t="inlineStr">
        <is>
          <t>●</t>
        </is>
      </c>
      <c r="EB6" s="16" t="inlineStr">
        <is>
          <t>R</t>
        </is>
      </c>
      <c r="EC6" s="23" t="inlineStr">
        <is>
          <t>●</t>
        </is>
      </c>
      <c r="ED6" s="23" t="inlineStr">
        <is>
          <t>●</t>
        </is>
      </c>
      <c r="EE6" s="12" t="n"/>
      <c r="EF6" s="12" t="n"/>
      <c r="EG6" s="12" t="n"/>
      <c r="EH6" s="12" t="n"/>
      <c r="EI6" s="12" t="n"/>
      <c r="EJ6" s="12" t="n"/>
      <c r="EK6" s="12" t="n"/>
      <c r="EL6" s="12" t="n"/>
      <c r="EM6" s="12" t="n"/>
      <c r="EN6" s="12" t="n"/>
      <c r="EO6" s="12" t="n"/>
      <c r="EP6" s="12" t="n"/>
      <c r="EQ6" s="12" t="n"/>
      <c r="ER6" s="12" t="n"/>
      <c r="ES6" s="12" t="n"/>
      <c r="ET6" s="12" t="n"/>
      <c r="EU6" s="12" t="n"/>
      <c r="EV6" s="12" t="n"/>
      <c r="EW6" s="12" t="n"/>
      <c r="EX6" s="12" t="n"/>
      <c r="EY6" s="12" t="n"/>
      <c r="EZ6" s="12" t="n"/>
      <c r="FA6" s="12" t="n"/>
      <c r="FB6" s="12" t="n"/>
      <c r="FC6" s="12" t="n"/>
      <c r="FD6" s="12" t="n"/>
      <c r="FE6" s="12" t="n"/>
      <c r="FF6" s="23" t="inlineStr">
        <is>
          <t>●</t>
        </is>
      </c>
      <c r="FG6" s="23" t="inlineStr">
        <is>
          <t>●</t>
        </is>
      </c>
      <c r="FH6" s="23" t="inlineStr">
        <is>
          <t>●</t>
        </is>
      </c>
      <c r="FI6" s="23" t="inlineStr">
        <is>
          <t>●</t>
        </is>
      </c>
      <c r="FJ6" s="23" t="inlineStr">
        <is>
          <t>●</t>
        </is>
      </c>
      <c r="FK6" s="16" t="inlineStr">
        <is>
          <t>R</t>
        </is>
      </c>
      <c r="FL6" s="23" t="inlineStr">
        <is>
          <t>●</t>
        </is>
      </c>
      <c r="FM6" s="23" t="inlineStr">
        <is>
          <t>●</t>
        </is>
      </c>
      <c r="FN6" s="17" t="inlineStr">
        <is>
          <t>M</t>
        </is>
      </c>
      <c r="FO6" s="23" t="inlineStr">
        <is>
          <t>●</t>
        </is>
      </c>
      <c r="FP6" s="23" t="inlineStr">
        <is>
          <t>●</t>
        </is>
      </c>
      <c r="FQ6" s="16" t="inlineStr">
        <is>
          <t>R</t>
        </is>
      </c>
      <c r="FR6" s="23" t="inlineStr">
        <is>
          <t>●</t>
        </is>
      </c>
      <c r="FS6" s="23" t="inlineStr">
        <is>
          <t>●</t>
        </is>
      </c>
      <c r="FT6" s="23" t="inlineStr">
        <is>
          <t>●</t>
        </is>
      </c>
      <c r="FU6" s="23" t="inlineStr">
        <is>
          <t>●</t>
        </is>
      </c>
      <c r="FV6" s="23" t="inlineStr">
        <is>
          <t>●</t>
        </is>
      </c>
      <c r="FW6" s="12" t="n"/>
      <c r="FX6" s="12" t="n"/>
      <c r="FY6" s="12" t="n"/>
      <c r="FZ6" s="12" t="n"/>
      <c r="GA6" s="12" t="n"/>
      <c r="GB6" s="12" t="n"/>
      <c r="GC6" s="12" t="n"/>
      <c r="GD6" s="12" t="n"/>
      <c r="GE6" s="12" t="n"/>
      <c r="GF6" s="12" t="n"/>
      <c r="GG6" s="12" t="n"/>
      <c r="GH6" s="12" t="n"/>
      <c r="GI6" s="12" t="n"/>
      <c r="GJ6" s="12" t="n"/>
      <c r="GK6" s="12" t="n"/>
      <c r="GL6" s="23" t="inlineStr">
        <is>
          <t>●</t>
        </is>
      </c>
      <c r="GM6" s="23" t="inlineStr">
        <is>
          <t>●</t>
        </is>
      </c>
      <c r="GN6" s="23" t="inlineStr">
        <is>
          <t>●</t>
        </is>
      </c>
      <c r="GO6" s="23" t="inlineStr">
        <is>
          <t>●</t>
        </is>
      </c>
      <c r="GP6" s="16" t="inlineStr">
        <is>
          <t>R</t>
        </is>
      </c>
      <c r="GQ6" s="23" t="inlineStr">
        <is>
          <t>●</t>
        </is>
      </c>
      <c r="GR6" s="23" t="inlineStr">
        <is>
          <t>●</t>
        </is>
      </c>
      <c r="GS6" s="17" t="inlineStr">
        <is>
          <t>M</t>
        </is>
      </c>
      <c r="GT6" s="23" t="inlineStr">
        <is>
          <t>●</t>
        </is>
      </c>
      <c r="GU6" s="23" t="inlineStr">
        <is>
          <t>●</t>
        </is>
      </c>
      <c r="GV6" s="16" t="inlineStr">
        <is>
          <t>R</t>
        </is>
      </c>
      <c r="GW6" s="23" t="inlineStr">
        <is>
          <t>●</t>
        </is>
      </c>
      <c r="GX6" s="23" t="inlineStr">
        <is>
          <t>●</t>
        </is>
      </c>
      <c r="GY6" s="23" t="inlineStr">
        <is>
          <t>●</t>
        </is>
      </c>
      <c r="GZ6" s="23" t="inlineStr">
        <is>
          <t>●</t>
        </is>
      </c>
      <c r="HA6" s="12" t="n"/>
      <c r="HB6" s="12" t="n"/>
      <c r="HC6" s="12" t="n"/>
      <c r="HD6" s="12" t="n"/>
      <c r="HE6" s="12" t="n"/>
      <c r="HF6" s="12" t="n"/>
      <c r="HG6" s="12" t="n"/>
      <c r="HH6" s="12" t="n"/>
      <c r="HI6" s="12" t="n"/>
      <c r="HJ6" s="12" t="n"/>
      <c r="HK6" s="12" t="n"/>
      <c r="HL6" s="12" t="n"/>
      <c r="HM6" s="12" t="n"/>
      <c r="HN6" s="12" t="n"/>
      <c r="HO6" s="12" t="n"/>
      <c r="HP6" s="12" t="n"/>
      <c r="HQ6" s="12" t="n"/>
    </row>
    <row r="7">
      <c r="A7" s="24" t="inlineStr">
        <is>
          <t>Scheduled</t>
        </is>
      </c>
      <c r="B7" s="8" t="n">
        <v>2</v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8" t="n">
        <v>2</v>
      </c>
      <c r="I7" s="8" t="n">
        <v>2</v>
      </c>
      <c r="J7" s="8" t="n">
        <v>2</v>
      </c>
      <c r="K7" s="8" t="n">
        <v>3</v>
      </c>
      <c r="L7" s="8" t="n">
        <v>3</v>
      </c>
      <c r="M7" s="8" t="n">
        <v>3</v>
      </c>
      <c r="N7" s="8" t="n">
        <v>2</v>
      </c>
      <c r="O7" s="8" t="n">
        <v>3</v>
      </c>
      <c r="P7" s="8" t="n">
        <v>3</v>
      </c>
      <c r="Q7" s="8" t="n">
        <v>3</v>
      </c>
      <c r="R7" s="8" t="n">
        <v>2</v>
      </c>
      <c r="S7" s="8" t="n">
        <v>2</v>
      </c>
      <c r="T7" s="8" t="n">
        <v>2</v>
      </c>
      <c r="U7" s="8" t="n">
        <v>2</v>
      </c>
      <c r="V7" s="8" t="n">
        <v>2</v>
      </c>
      <c r="W7" s="8" t="n">
        <v>1</v>
      </c>
      <c r="X7" s="8" t="n">
        <v>1</v>
      </c>
      <c r="Y7" s="8" t="n">
        <v>1</v>
      </c>
      <c r="Z7" s="8" t="n">
        <v>1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2</v>
      </c>
      <c r="AI7" s="8" t="n">
        <v>2</v>
      </c>
      <c r="AJ7" s="8" t="n">
        <v>2</v>
      </c>
      <c r="AK7" s="8" t="n">
        <v>2</v>
      </c>
      <c r="AL7" s="8" t="n">
        <v>2</v>
      </c>
      <c r="AM7" s="8" t="n">
        <v>2</v>
      </c>
      <c r="AN7" s="8" t="n">
        <v>1</v>
      </c>
      <c r="AO7" s="8" t="n">
        <v>2</v>
      </c>
      <c r="AP7" s="8" t="n">
        <v>2</v>
      </c>
      <c r="AQ7" s="8" t="n">
        <v>3</v>
      </c>
      <c r="AR7" s="8" t="n">
        <v>3</v>
      </c>
      <c r="AS7" s="8" t="n">
        <v>3</v>
      </c>
      <c r="AT7" s="8" t="n">
        <v>2</v>
      </c>
      <c r="AU7" s="8" t="n">
        <v>2</v>
      </c>
      <c r="AV7" s="8" t="n">
        <v>2</v>
      </c>
      <c r="AW7" s="8" t="n">
        <v>2</v>
      </c>
      <c r="AX7" s="8" t="n">
        <v>2</v>
      </c>
      <c r="AY7" s="8" t="n">
        <v>0</v>
      </c>
      <c r="AZ7" s="8" t="n">
        <v>1</v>
      </c>
      <c r="BA7" s="8" t="n">
        <v>1</v>
      </c>
      <c r="BB7" s="8" t="n">
        <v>1</v>
      </c>
      <c r="BC7" s="8" t="n">
        <v>1</v>
      </c>
      <c r="BD7" s="8" t="n">
        <v>1</v>
      </c>
      <c r="BE7" s="8" t="n">
        <v>1</v>
      </c>
      <c r="BF7" s="8" t="n">
        <v>1</v>
      </c>
      <c r="BG7" s="8" t="n">
        <v>1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2</v>
      </c>
      <c r="BO7" s="8" t="n">
        <v>2</v>
      </c>
      <c r="BP7" s="8" t="n">
        <v>2</v>
      </c>
      <c r="BQ7" s="8" t="n">
        <v>2</v>
      </c>
      <c r="BR7" s="8" t="n">
        <v>2</v>
      </c>
      <c r="BS7" s="8" t="n">
        <v>2</v>
      </c>
      <c r="BT7" s="8" t="n">
        <v>2</v>
      </c>
      <c r="BU7" s="8" t="n">
        <v>2</v>
      </c>
      <c r="BV7" s="8" t="n">
        <v>1</v>
      </c>
      <c r="BW7" s="8" t="n">
        <v>2</v>
      </c>
      <c r="BX7" s="8" t="n">
        <v>2</v>
      </c>
      <c r="BY7" s="8" t="n">
        <v>2</v>
      </c>
      <c r="BZ7" s="8" t="n">
        <v>1</v>
      </c>
      <c r="CA7" s="8" t="n">
        <v>2</v>
      </c>
      <c r="CB7" s="8" t="n">
        <v>2</v>
      </c>
      <c r="CC7" s="8" t="n">
        <v>2</v>
      </c>
      <c r="CD7" s="8" t="n">
        <v>2</v>
      </c>
      <c r="CE7" s="8" t="n">
        <v>1</v>
      </c>
      <c r="CF7" s="8" t="n">
        <v>1</v>
      </c>
      <c r="CG7" s="8" t="n">
        <v>1</v>
      </c>
      <c r="CH7" s="8" t="n">
        <v>1</v>
      </c>
      <c r="CI7" s="8" t="n">
        <v>0</v>
      </c>
      <c r="CJ7" s="8" t="n">
        <v>0</v>
      </c>
      <c r="CK7" s="8" t="n">
        <v>0</v>
      </c>
      <c r="CL7" s="8" t="n">
        <v>0</v>
      </c>
      <c r="CM7" s="8" t="n">
        <v>0</v>
      </c>
      <c r="CN7" s="8" t="n">
        <v>0</v>
      </c>
      <c r="CO7" s="8" t="n">
        <v>0</v>
      </c>
      <c r="CP7" s="8" t="n">
        <v>0</v>
      </c>
      <c r="CQ7" s="8" t="n">
        <v>0</v>
      </c>
      <c r="CR7" s="8" t="n">
        <v>0</v>
      </c>
      <c r="CS7" s="8" t="n">
        <v>0</v>
      </c>
      <c r="CT7" s="8" t="n">
        <v>2</v>
      </c>
      <c r="CU7" s="8" t="n">
        <v>2</v>
      </c>
      <c r="CV7" s="8" t="n">
        <v>2</v>
      </c>
      <c r="CW7" s="8" t="n">
        <v>2</v>
      </c>
      <c r="CX7" s="8" t="n">
        <v>2</v>
      </c>
      <c r="CY7" s="8" t="n">
        <v>2</v>
      </c>
      <c r="CZ7" s="8" t="n">
        <v>2</v>
      </c>
      <c r="DA7" s="8" t="n">
        <v>2</v>
      </c>
      <c r="DB7" s="8" t="n">
        <v>1</v>
      </c>
      <c r="DC7" s="8" t="n">
        <v>2</v>
      </c>
      <c r="DD7" s="8" t="n">
        <v>2</v>
      </c>
      <c r="DE7" s="8" t="n">
        <v>2</v>
      </c>
      <c r="DF7" s="8" t="n">
        <v>1</v>
      </c>
      <c r="DG7" s="8" t="n">
        <v>2</v>
      </c>
      <c r="DH7" s="8" t="n">
        <v>2</v>
      </c>
      <c r="DI7" s="8" t="n">
        <v>2</v>
      </c>
      <c r="DJ7" s="8" t="n">
        <v>2</v>
      </c>
      <c r="DK7" s="8" t="n">
        <v>1</v>
      </c>
      <c r="DL7" s="8" t="n">
        <v>1</v>
      </c>
      <c r="DM7" s="8" t="n">
        <v>1</v>
      </c>
      <c r="DN7" s="8" t="n">
        <v>1</v>
      </c>
      <c r="DO7" s="8" t="n">
        <v>0</v>
      </c>
      <c r="DP7" s="8" t="n">
        <v>0</v>
      </c>
      <c r="DQ7" s="8" t="n">
        <v>0</v>
      </c>
      <c r="DR7" s="8" t="n">
        <v>0</v>
      </c>
      <c r="DS7" s="8" t="n">
        <v>0</v>
      </c>
      <c r="DT7" s="8" t="n">
        <v>0</v>
      </c>
      <c r="DU7" s="8" t="n">
        <v>0</v>
      </c>
      <c r="DV7" s="8" t="n">
        <v>0</v>
      </c>
      <c r="DW7" s="8" t="n">
        <v>0</v>
      </c>
      <c r="DX7" s="8" t="n">
        <v>0</v>
      </c>
      <c r="DY7" s="8" t="n">
        <v>0</v>
      </c>
      <c r="DZ7" s="8" t="n">
        <v>2</v>
      </c>
      <c r="EA7" s="8" t="n">
        <v>2</v>
      </c>
      <c r="EB7" s="8" t="n">
        <v>2</v>
      </c>
      <c r="EC7" s="8" t="n">
        <v>2</v>
      </c>
      <c r="ED7" s="8" t="n">
        <v>2</v>
      </c>
      <c r="EE7" s="8" t="n">
        <v>2</v>
      </c>
      <c r="EF7" s="8" t="n">
        <v>2</v>
      </c>
      <c r="EG7" s="8" t="n">
        <v>2</v>
      </c>
      <c r="EH7" s="8" t="n">
        <v>1</v>
      </c>
      <c r="EI7" s="8" t="n">
        <v>2</v>
      </c>
      <c r="EJ7" s="8" t="n">
        <v>2</v>
      </c>
      <c r="EK7" s="8" t="n">
        <v>2</v>
      </c>
      <c r="EL7" s="8" t="n">
        <v>2</v>
      </c>
      <c r="EM7" s="8" t="n">
        <v>2</v>
      </c>
      <c r="EN7" s="8" t="n">
        <v>2</v>
      </c>
      <c r="EO7" s="8" t="n">
        <v>2</v>
      </c>
      <c r="EP7" s="8" t="n">
        <v>2</v>
      </c>
      <c r="EQ7" s="8" t="n">
        <v>1</v>
      </c>
      <c r="ER7" s="8" t="n">
        <v>1</v>
      </c>
      <c r="ES7" s="8" t="n">
        <v>1</v>
      </c>
      <c r="ET7" s="8" t="n">
        <v>1</v>
      </c>
      <c r="EU7" s="8" t="n">
        <v>1</v>
      </c>
      <c r="EV7" s="8" t="n">
        <v>0</v>
      </c>
      <c r="EW7" s="8" t="n">
        <v>1</v>
      </c>
      <c r="EX7" s="8" t="n">
        <v>1</v>
      </c>
      <c r="EY7" s="8" t="n">
        <v>1</v>
      </c>
      <c r="EZ7" s="8" t="n">
        <v>1</v>
      </c>
      <c r="FA7" s="8" t="n">
        <v>1</v>
      </c>
      <c r="FB7" s="8" t="n">
        <v>1</v>
      </c>
      <c r="FC7" s="8" t="n">
        <v>1</v>
      </c>
      <c r="FD7" s="8" t="n">
        <v>1</v>
      </c>
      <c r="FE7" s="8" t="n">
        <v>0</v>
      </c>
      <c r="FF7" s="8" t="n">
        <v>2</v>
      </c>
      <c r="FG7" s="8" t="n">
        <v>2</v>
      </c>
      <c r="FH7" s="8" t="n">
        <v>2</v>
      </c>
      <c r="FI7" s="8" t="n">
        <v>2</v>
      </c>
      <c r="FJ7" s="8" t="n">
        <v>2</v>
      </c>
      <c r="FK7" s="8" t="n">
        <v>2</v>
      </c>
      <c r="FL7" s="8" t="n">
        <v>2</v>
      </c>
      <c r="FM7" s="8" t="n">
        <v>2</v>
      </c>
      <c r="FN7" s="8" t="n">
        <v>0</v>
      </c>
      <c r="FO7" s="8" t="n">
        <v>2</v>
      </c>
      <c r="FP7" s="8" t="n">
        <v>2</v>
      </c>
      <c r="FQ7" s="8" t="n">
        <v>2</v>
      </c>
      <c r="FR7" s="8" t="n">
        <v>2</v>
      </c>
      <c r="FS7" s="8" t="n">
        <v>2</v>
      </c>
      <c r="FT7" s="8" t="n">
        <v>2</v>
      </c>
      <c r="FU7" s="8" t="n">
        <v>2</v>
      </c>
      <c r="FV7" s="8" t="n">
        <v>2</v>
      </c>
      <c r="FW7" s="8" t="n">
        <v>1</v>
      </c>
      <c r="FX7" s="8" t="n">
        <v>1</v>
      </c>
      <c r="FY7" s="8" t="n">
        <v>1</v>
      </c>
      <c r="FZ7" s="8" t="n">
        <v>1</v>
      </c>
      <c r="GA7" s="8" t="n">
        <v>1</v>
      </c>
      <c r="GB7" s="8" t="n">
        <v>0</v>
      </c>
      <c r="GC7" s="8" t="n">
        <v>0</v>
      </c>
      <c r="GD7" s="8" t="n">
        <v>0</v>
      </c>
      <c r="GE7" s="8" t="n">
        <v>0</v>
      </c>
      <c r="GF7" s="8" t="n">
        <v>0</v>
      </c>
      <c r="GG7" s="8" t="n">
        <v>0</v>
      </c>
      <c r="GH7" s="8" t="n">
        <v>0</v>
      </c>
      <c r="GI7" s="8" t="n">
        <v>0</v>
      </c>
      <c r="GJ7" s="8" t="n">
        <v>0</v>
      </c>
      <c r="GK7" s="8" t="n">
        <v>0</v>
      </c>
      <c r="GL7" s="8" t="n">
        <v>2</v>
      </c>
      <c r="GM7" s="8" t="n">
        <v>2</v>
      </c>
      <c r="GN7" s="8" t="n">
        <v>2</v>
      </c>
      <c r="GO7" s="8" t="n">
        <v>2</v>
      </c>
      <c r="GP7" s="8" t="n">
        <v>2</v>
      </c>
      <c r="GQ7" s="8" t="n">
        <v>1</v>
      </c>
      <c r="GR7" s="8" t="n">
        <v>1</v>
      </c>
      <c r="GS7" s="8" t="n">
        <v>0</v>
      </c>
      <c r="GT7" s="8" t="n">
        <v>1</v>
      </c>
      <c r="GU7" s="8" t="n">
        <v>1</v>
      </c>
      <c r="GV7" s="8" t="n">
        <v>1</v>
      </c>
      <c r="GW7" s="8" t="n">
        <v>1</v>
      </c>
      <c r="GX7" s="8" t="n">
        <v>1</v>
      </c>
      <c r="GY7" s="8" t="n">
        <v>1</v>
      </c>
      <c r="GZ7" s="8" t="n">
        <v>1</v>
      </c>
      <c r="HA7" s="8" t="n">
        <v>0</v>
      </c>
      <c r="HB7" s="8" t="n">
        <v>0</v>
      </c>
      <c r="HC7" s="8" t="n">
        <v>0</v>
      </c>
      <c r="HD7" s="8" t="n">
        <v>0</v>
      </c>
      <c r="HE7" s="8" t="n">
        <v>0</v>
      </c>
      <c r="HF7" s="8" t="n">
        <v>0</v>
      </c>
      <c r="HG7" s="8" t="n">
        <v>0</v>
      </c>
      <c r="HH7" s="8" t="n">
        <v>0</v>
      </c>
      <c r="HI7" s="8" t="n">
        <v>0</v>
      </c>
      <c r="HJ7" s="8" t="n">
        <v>0</v>
      </c>
      <c r="HK7" s="8" t="n">
        <v>0</v>
      </c>
      <c r="HL7" s="8" t="n">
        <v>0</v>
      </c>
      <c r="HM7" s="8" t="n">
        <v>0</v>
      </c>
      <c r="HN7" s="8" t="n">
        <v>0</v>
      </c>
      <c r="HO7" s="8" t="n">
        <v>0</v>
      </c>
      <c r="HP7" s="8" t="n">
        <v>0</v>
      </c>
      <c r="HQ7" s="8" t="n">
        <v>0</v>
      </c>
    </row>
    <row r="8">
      <c r="A8" s="24" t="inlineStr">
        <is>
          <t>Required</t>
        </is>
      </c>
      <c r="B8" s="8" t="n">
        <v>2</v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8" t="n">
        <v>2</v>
      </c>
      <c r="I8" s="8" t="n">
        <v>2</v>
      </c>
      <c r="J8" s="8" t="n">
        <v>2</v>
      </c>
      <c r="K8" s="8" t="n">
        <v>2</v>
      </c>
      <c r="L8" s="8" t="n">
        <v>2</v>
      </c>
      <c r="M8" s="8" t="n">
        <v>2</v>
      </c>
      <c r="N8" s="8" t="n">
        <v>2</v>
      </c>
      <c r="O8" s="8" t="n">
        <v>2</v>
      </c>
      <c r="P8" s="8" t="n">
        <v>2</v>
      </c>
      <c r="Q8" s="8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8" t="n">
        <v>2</v>
      </c>
      <c r="Z8" s="8" t="n">
        <v>2</v>
      </c>
      <c r="AA8" s="8" t="n">
        <v>2</v>
      </c>
      <c r="AB8" s="8" t="n">
        <v>2</v>
      </c>
      <c r="AC8" s="8" t="n">
        <v>2</v>
      </c>
      <c r="AD8" s="8" t="n">
        <v>2</v>
      </c>
      <c r="AE8" s="8" t="n">
        <v>2</v>
      </c>
      <c r="AF8" s="8" t="n">
        <v>2</v>
      </c>
      <c r="AG8" s="8" t="n">
        <v>2</v>
      </c>
      <c r="AH8" s="8" t="n">
        <v>2</v>
      </c>
      <c r="AI8" s="8" t="n">
        <v>2</v>
      </c>
      <c r="AJ8" s="8" t="n">
        <v>2</v>
      </c>
      <c r="AK8" s="8" t="n">
        <v>2</v>
      </c>
      <c r="AL8" s="8" t="n">
        <v>2</v>
      </c>
      <c r="AM8" s="8" t="n">
        <v>2</v>
      </c>
      <c r="AN8" s="8" t="n">
        <v>2</v>
      </c>
      <c r="AO8" s="8" t="n">
        <v>2</v>
      </c>
      <c r="AP8" s="8" t="n">
        <v>2</v>
      </c>
      <c r="AQ8" s="8" t="n">
        <v>2</v>
      </c>
      <c r="AR8" s="8" t="n">
        <v>2</v>
      </c>
      <c r="AS8" s="8" t="n">
        <v>2</v>
      </c>
      <c r="AT8" s="8" t="n">
        <v>2</v>
      </c>
      <c r="AU8" s="8" t="n">
        <v>2</v>
      </c>
      <c r="AV8" s="8" t="n">
        <v>2</v>
      </c>
      <c r="AW8" s="8" t="n">
        <v>2</v>
      </c>
      <c r="AX8" s="8" t="n">
        <v>2</v>
      </c>
      <c r="AY8" s="8" t="n">
        <v>2</v>
      </c>
      <c r="AZ8" s="8" t="n">
        <v>2</v>
      </c>
      <c r="BA8" s="8" t="n">
        <v>2</v>
      </c>
      <c r="BB8" s="8" t="n">
        <v>2</v>
      </c>
      <c r="BC8" s="8" t="n">
        <v>2</v>
      </c>
      <c r="BD8" s="8" t="n">
        <v>2</v>
      </c>
      <c r="BE8" s="8" t="n">
        <v>2</v>
      </c>
      <c r="BF8" s="8" t="n">
        <v>2</v>
      </c>
      <c r="BG8" s="8" t="n">
        <v>2</v>
      </c>
      <c r="BH8" s="8" t="n">
        <v>2</v>
      </c>
      <c r="BI8" s="8" t="n">
        <v>2</v>
      </c>
      <c r="BJ8" s="8" t="n">
        <v>2</v>
      </c>
      <c r="BK8" s="8" t="n">
        <v>2</v>
      </c>
      <c r="BL8" s="8" t="n">
        <v>2</v>
      </c>
      <c r="BM8" s="8" t="n">
        <v>2</v>
      </c>
      <c r="BN8" s="8" t="n">
        <v>2</v>
      </c>
      <c r="BO8" s="8" t="n">
        <v>2</v>
      </c>
      <c r="BP8" s="8" t="n">
        <v>2</v>
      </c>
      <c r="BQ8" s="8" t="n">
        <v>2</v>
      </c>
      <c r="BR8" s="8" t="n">
        <v>2</v>
      </c>
      <c r="BS8" s="8" t="n">
        <v>2</v>
      </c>
      <c r="BT8" s="8" t="n">
        <v>2</v>
      </c>
      <c r="BU8" s="8" t="n">
        <v>2</v>
      </c>
      <c r="BV8" s="8" t="n">
        <v>2</v>
      </c>
      <c r="BW8" s="8" t="n">
        <v>2</v>
      </c>
      <c r="BX8" s="8" t="n">
        <v>2</v>
      </c>
      <c r="BY8" s="8" t="n">
        <v>2</v>
      </c>
      <c r="BZ8" s="8" t="n">
        <v>2</v>
      </c>
      <c r="CA8" s="8" t="n">
        <v>2</v>
      </c>
      <c r="CB8" s="8" t="n">
        <v>2</v>
      </c>
      <c r="CC8" s="8" t="n">
        <v>2</v>
      </c>
      <c r="CD8" s="8" t="n">
        <v>2</v>
      </c>
      <c r="CE8" s="8" t="n">
        <v>2</v>
      </c>
      <c r="CF8" s="8" t="n">
        <v>2</v>
      </c>
      <c r="CG8" s="8" t="n">
        <v>2</v>
      </c>
      <c r="CH8" s="8" t="n">
        <v>2</v>
      </c>
      <c r="CI8" s="8" t="n">
        <v>2</v>
      </c>
      <c r="CJ8" s="8" t="n">
        <v>2</v>
      </c>
      <c r="CK8" s="8" t="n">
        <v>2</v>
      </c>
      <c r="CL8" s="8" t="n">
        <v>2</v>
      </c>
      <c r="CM8" s="8" t="n">
        <v>2</v>
      </c>
      <c r="CN8" s="8" t="n">
        <v>2</v>
      </c>
      <c r="CO8" s="8" t="n">
        <v>2</v>
      </c>
      <c r="CP8" s="8" t="n">
        <v>2</v>
      </c>
      <c r="CQ8" s="8" t="n">
        <v>2</v>
      </c>
      <c r="CR8" s="8" t="n">
        <v>2</v>
      </c>
      <c r="CS8" s="8" t="n">
        <v>2</v>
      </c>
      <c r="CT8" s="8" t="n">
        <v>2</v>
      </c>
      <c r="CU8" s="8" t="n">
        <v>2</v>
      </c>
      <c r="CV8" s="8" t="n">
        <v>2</v>
      </c>
      <c r="CW8" s="8" t="n">
        <v>2</v>
      </c>
      <c r="CX8" s="8" t="n">
        <v>2</v>
      </c>
      <c r="CY8" s="8" t="n">
        <v>2</v>
      </c>
      <c r="CZ8" s="8" t="n">
        <v>2</v>
      </c>
      <c r="DA8" s="8" t="n">
        <v>2</v>
      </c>
      <c r="DB8" s="8" t="n">
        <v>2</v>
      </c>
      <c r="DC8" s="8" t="n">
        <v>2</v>
      </c>
      <c r="DD8" s="8" t="n">
        <v>2</v>
      </c>
      <c r="DE8" s="8" t="n">
        <v>2</v>
      </c>
      <c r="DF8" s="8" t="n">
        <v>2</v>
      </c>
      <c r="DG8" s="8" t="n">
        <v>2</v>
      </c>
      <c r="DH8" s="8" t="n">
        <v>2</v>
      </c>
      <c r="DI8" s="8" t="n">
        <v>2</v>
      </c>
      <c r="DJ8" s="8" t="n">
        <v>2</v>
      </c>
      <c r="DK8" s="8" t="n">
        <v>2</v>
      </c>
      <c r="DL8" s="8" t="n">
        <v>2</v>
      </c>
      <c r="DM8" s="8" t="n">
        <v>2</v>
      </c>
      <c r="DN8" s="8" t="n">
        <v>2</v>
      </c>
      <c r="DO8" s="8" t="n">
        <v>2</v>
      </c>
      <c r="DP8" s="8" t="n">
        <v>2</v>
      </c>
      <c r="DQ8" s="8" t="n">
        <v>2</v>
      </c>
      <c r="DR8" s="8" t="n">
        <v>2</v>
      </c>
      <c r="DS8" s="8" t="n">
        <v>2</v>
      </c>
      <c r="DT8" s="8" t="n">
        <v>2</v>
      </c>
      <c r="DU8" s="8" t="n">
        <v>2</v>
      </c>
      <c r="DV8" s="8" t="n">
        <v>2</v>
      </c>
      <c r="DW8" s="8" t="n">
        <v>2</v>
      </c>
      <c r="DX8" s="8" t="n">
        <v>2</v>
      </c>
      <c r="DY8" s="8" t="n">
        <v>2</v>
      </c>
      <c r="DZ8" s="8" t="n">
        <v>2</v>
      </c>
      <c r="EA8" s="8" t="n">
        <v>2</v>
      </c>
      <c r="EB8" s="8" t="n">
        <v>2</v>
      </c>
      <c r="EC8" s="8" t="n">
        <v>2</v>
      </c>
      <c r="ED8" s="8" t="n">
        <v>2</v>
      </c>
      <c r="EE8" s="8" t="n">
        <v>2</v>
      </c>
      <c r="EF8" s="8" t="n">
        <v>2</v>
      </c>
      <c r="EG8" s="8" t="n">
        <v>2</v>
      </c>
      <c r="EH8" s="8" t="n">
        <v>2</v>
      </c>
      <c r="EI8" s="8" t="n">
        <v>2</v>
      </c>
      <c r="EJ8" s="8" t="n">
        <v>2</v>
      </c>
      <c r="EK8" s="8" t="n">
        <v>2</v>
      </c>
      <c r="EL8" s="8" t="n">
        <v>2</v>
      </c>
      <c r="EM8" s="8" t="n">
        <v>2</v>
      </c>
      <c r="EN8" s="8" t="n">
        <v>2</v>
      </c>
      <c r="EO8" s="8" t="n">
        <v>2</v>
      </c>
      <c r="EP8" s="8" t="n">
        <v>2</v>
      </c>
      <c r="EQ8" s="8" t="n">
        <v>2</v>
      </c>
      <c r="ER8" s="8" t="n">
        <v>2</v>
      </c>
      <c r="ES8" s="8" t="n">
        <v>2</v>
      </c>
      <c r="ET8" s="8" t="n">
        <v>2</v>
      </c>
      <c r="EU8" s="8" t="n">
        <v>2</v>
      </c>
      <c r="EV8" s="8" t="n">
        <v>2</v>
      </c>
      <c r="EW8" s="8" t="n">
        <v>2</v>
      </c>
      <c r="EX8" s="8" t="n">
        <v>2</v>
      </c>
      <c r="EY8" s="8" t="n">
        <v>2</v>
      </c>
      <c r="EZ8" s="8" t="n">
        <v>2</v>
      </c>
      <c r="FA8" s="8" t="n">
        <v>2</v>
      </c>
      <c r="FB8" s="8" t="n">
        <v>2</v>
      </c>
      <c r="FC8" s="8" t="n">
        <v>2</v>
      </c>
      <c r="FD8" s="8" t="n">
        <v>2</v>
      </c>
      <c r="FE8" s="8" t="n">
        <v>2</v>
      </c>
      <c r="FF8" s="8" t="n">
        <v>2</v>
      </c>
      <c r="FG8" s="8" t="n">
        <v>2</v>
      </c>
      <c r="FH8" s="8" t="n">
        <v>2</v>
      </c>
      <c r="FI8" s="8" t="n">
        <v>2</v>
      </c>
      <c r="FJ8" s="8" t="n">
        <v>2</v>
      </c>
      <c r="FK8" s="8" t="n">
        <v>2</v>
      </c>
      <c r="FL8" s="8" t="n">
        <v>2</v>
      </c>
      <c r="FM8" s="8" t="n">
        <v>2</v>
      </c>
      <c r="FN8" s="8" t="n">
        <v>2</v>
      </c>
      <c r="FO8" s="8" t="n">
        <v>2</v>
      </c>
      <c r="FP8" s="8" t="n">
        <v>2</v>
      </c>
      <c r="FQ8" s="8" t="n">
        <v>2</v>
      </c>
      <c r="FR8" s="8" t="n">
        <v>2</v>
      </c>
      <c r="FS8" s="8" t="n">
        <v>2</v>
      </c>
      <c r="FT8" s="8" t="n">
        <v>2</v>
      </c>
      <c r="FU8" s="8" t="n">
        <v>2</v>
      </c>
      <c r="FV8" s="8" t="n">
        <v>2</v>
      </c>
      <c r="FW8" s="8" t="n">
        <v>2</v>
      </c>
      <c r="FX8" s="8" t="n">
        <v>2</v>
      </c>
      <c r="FY8" s="8" t="n">
        <v>2</v>
      </c>
      <c r="FZ8" s="8" t="n">
        <v>2</v>
      </c>
      <c r="GA8" s="8" t="n">
        <v>2</v>
      </c>
      <c r="GB8" s="8" t="n">
        <v>2</v>
      </c>
      <c r="GC8" s="8" t="n">
        <v>2</v>
      </c>
      <c r="GD8" s="8" t="n">
        <v>2</v>
      </c>
      <c r="GE8" s="8" t="n">
        <v>2</v>
      </c>
      <c r="GF8" s="8" t="n">
        <v>2</v>
      </c>
      <c r="GG8" s="8" t="n">
        <v>2</v>
      </c>
      <c r="GH8" s="8" t="n">
        <v>2</v>
      </c>
      <c r="GI8" s="8" t="n">
        <v>2</v>
      </c>
      <c r="GJ8" s="8" t="n">
        <v>2</v>
      </c>
      <c r="GK8" s="8" t="n">
        <v>2</v>
      </c>
      <c r="GL8" s="8" t="n">
        <v>2</v>
      </c>
      <c r="GM8" s="8" t="n">
        <v>2</v>
      </c>
      <c r="GN8" s="8" t="n">
        <v>2</v>
      </c>
      <c r="GO8" s="8" t="n">
        <v>2</v>
      </c>
      <c r="GP8" s="8" t="n">
        <v>2</v>
      </c>
      <c r="GQ8" s="8" t="n">
        <v>2</v>
      </c>
      <c r="GR8" s="8" t="n">
        <v>2</v>
      </c>
      <c r="GS8" s="8" t="n">
        <v>2</v>
      </c>
      <c r="GT8" s="8" t="n">
        <v>2</v>
      </c>
      <c r="GU8" s="8" t="n">
        <v>2</v>
      </c>
      <c r="GV8" s="8" t="n">
        <v>2</v>
      </c>
      <c r="GW8" s="8" t="n">
        <v>2</v>
      </c>
      <c r="GX8" s="8" t="n">
        <v>2</v>
      </c>
      <c r="GY8" s="8" t="n">
        <v>2</v>
      </c>
      <c r="GZ8" s="8" t="n">
        <v>2</v>
      </c>
      <c r="HA8" s="8" t="n">
        <v>2</v>
      </c>
      <c r="HB8" s="8" t="n">
        <v>2</v>
      </c>
      <c r="HC8" s="8" t="n">
        <v>2</v>
      </c>
      <c r="HD8" s="8" t="n">
        <v>2</v>
      </c>
      <c r="HE8" s="8" t="n">
        <v>2</v>
      </c>
      <c r="HF8" s="8" t="n">
        <v>2</v>
      </c>
      <c r="HG8" s="8" t="n">
        <v>2</v>
      </c>
      <c r="HH8" s="8" t="n">
        <v>2</v>
      </c>
      <c r="HI8" s="8" t="n">
        <v>2</v>
      </c>
      <c r="HJ8" s="8" t="n">
        <v>2</v>
      </c>
      <c r="HK8" s="8" t="n">
        <v>2</v>
      </c>
      <c r="HL8" s="8" t="n">
        <v>2</v>
      </c>
      <c r="HM8" s="8" t="n">
        <v>2</v>
      </c>
      <c r="HN8" s="8" t="n">
        <v>2</v>
      </c>
      <c r="HO8" s="8" t="n">
        <v>2</v>
      </c>
      <c r="HP8" s="8" t="n">
        <v>2</v>
      </c>
      <c r="HQ8" s="8" t="n">
        <v>2</v>
      </c>
    </row>
    <row r="10">
      <c r="A10" s="4" t="inlineStr">
        <is>
          <t>Legend</t>
        </is>
      </c>
    </row>
    <row r="11">
      <c r="A11" s="25" t="inlineStr">
        <is>
          <t>Alex (work ●)</t>
        </is>
      </c>
    </row>
    <row r="12">
      <c r="A12" s="26" t="inlineStr">
        <is>
          <t>Bina (work ●)</t>
        </is>
      </c>
    </row>
    <row r="13">
      <c r="A13" s="27" t="inlineStr">
        <is>
          <t>Cleo (work ●)</t>
        </is>
      </c>
    </row>
    <row r="14">
      <c r="A14" s="28" t="inlineStr">
        <is>
          <t>Dario (work ●)</t>
        </is>
      </c>
    </row>
    <row r="15">
      <c r="A15" s="29" t="inlineStr">
        <is>
          <t>Rest break (R) - paid</t>
        </is>
      </c>
    </row>
    <row r="16">
      <c r="A16" s="30" t="inlineStr">
        <is>
          <t>Meal break (M) - unpaid</t>
        </is>
      </c>
    </row>
    <row r="17">
      <c r="A17" s="31" t="inlineStr">
        <is>
          <t>Unavailable</t>
        </is>
      </c>
    </row>
  </sheetData>
  <mergeCells count="7">
    <mergeCell ref="AH1:BM1"/>
    <mergeCell ref="BN1:CS1"/>
    <mergeCell ref="CT1:DY1"/>
    <mergeCell ref="B1:AG1"/>
    <mergeCell ref="FF1:GK1"/>
    <mergeCell ref="DZ1:FE1"/>
    <mergeCell ref="GL1:HQ1"/>
  </mergeCells>
  <conditionalFormatting sqref="B7:HQ7">
    <cfRule type="expression" priority="1" dxfId="1">
      <formula>B7&lt;B8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Schedule Summary</t>
        </is>
      </c>
    </row>
    <row r="3">
      <c r="A3" s="4" t="inlineStr">
        <is>
          <t>Per-employee totals (paid hours)</t>
        </is>
      </c>
    </row>
    <row r="4">
      <c r="A4" s="5" t="inlineStr">
        <is>
          <t>Employee</t>
        </is>
      </c>
      <c r="B4" s="5" t="inlineStr">
        <is>
          <t>Paid hours</t>
        </is>
      </c>
      <c r="C4" s="5" t="inlineStr">
        <is>
          <t>Days worked</t>
        </is>
      </c>
      <c r="D4" s="5" t="inlineStr">
        <is>
          <t>Status</t>
        </is>
      </c>
      <c r="E4" s="5" t="inlineStr">
        <is>
          <t>Shift lengths (paid h)</t>
        </is>
      </c>
    </row>
    <row r="5">
      <c r="A5" s="6" t="inlineStr">
        <is>
          <t>Alex</t>
        </is>
      </c>
      <c r="B5" s="12">
        <f>(COUNTIF(Schedule!B3:HQ3,"●")+COUNTIF(Schedule!B3:HQ3,"R"))*(BLOCK_MIN/60)</f>
        <v/>
      </c>
      <c r="C5" s="12">
        <f>((COUNTIF(Schedule!B3:AG3,"●")+COUNTIF(Schedule!B3:AG3,"R"))&gt;0)+((COUNTIF(Schedule!AH3:BM3,"●")+COUNTIF(Schedule!AH3:BM3,"R"))&gt;0)+((COUNTIF(Schedule!BN3:CS3,"●")+COUNTIF(Schedule!BN3:CS3,"R"))&gt;0)+((COUNTIF(Schedule!CT3:DY3,"●")+COUNTIF(Schedule!CT3:DY3,"R"))&gt;0)+((COUNTIF(Schedule!DZ3:FE3,"●")+COUNTIF(Schedule!DZ3:FE3,"R"))&gt;0)+((COUNTIF(Schedule!FF3:GK3,"●")+COUNTIF(Schedule!FF3:GK3,"R"))&gt;0)+((COUNTIF(Schedule!GL3:HQ3,"●")+COUNTIF(Schedule!GL3:HQ3,"R"))&gt;0)</f>
        <v/>
      </c>
      <c r="D5" s="12">
        <f>IF(B5&lt;TARGET_MIN,"BELOW MIN",IF(B5&gt;TARGET_MAX,"ABOVE MAX",IF((MAX((COUNTIF(Schedule!B3:AG3,"●")+COUNTIF(Schedule!B3:AG3,"R")),(COUNTIF(Schedule!AH3:BM3,"●")+COUNTIF(Schedule!AH3:BM3,"R")),(COUNTIF(Schedule!BN3:CS3,"●")+COUNTIF(Schedule!BN3:CS3,"R")),(COUNTIF(Schedule!CT3:DY3,"●")+COUNTIF(Schedule!CT3:DY3,"R")),(COUNTIF(Schedule!DZ3:FE3,"●")+COUNTIF(Schedule!DZ3:FE3,"R")),(COUNTIF(Schedule!FF3:GK3,"●")+COUNTIF(Schedule!FF3:GK3,"R")),(COUNTIF(Schedule!GL3:HQ3,"●")+COUNTIF(Schedule!GL3:HQ3,"R")))*(BLOCK_MIN/60))&gt;MAX_DAY,"OVER DAILY CAP","OK")))</f>
        <v/>
      </c>
      <c r="E5" s="32" t="inlineStr">
        <is>
          <t>Mon 8, Tue 0.5, Wed 8, Thu 8, Fri 8, Sat 2.5</t>
        </is>
      </c>
    </row>
    <row r="6">
      <c r="A6" s="6" t="inlineStr">
        <is>
          <t>Bina</t>
        </is>
      </c>
      <c r="B6" s="12">
        <f>(COUNTIF(Schedule!B4:HQ4,"●")+COUNTIF(Schedule!B4:HQ4,"R"))*(BLOCK_MIN/60)</f>
        <v/>
      </c>
      <c r="C6" s="12">
        <f>((COUNTIF(Schedule!B4:AG4,"●")+COUNTIF(Schedule!B4:AG4,"R"))&gt;0)+((COUNTIF(Schedule!AH4:BM4,"●")+COUNTIF(Schedule!AH4:BM4,"R"))&gt;0)+((COUNTIF(Schedule!BN4:CS4,"●")+COUNTIF(Schedule!BN4:CS4,"R"))&gt;0)+((COUNTIF(Schedule!CT4:DY4,"●")+COUNTIF(Schedule!CT4:DY4,"R"))&gt;0)+((COUNTIF(Schedule!DZ4:FE4,"●")+COUNTIF(Schedule!DZ4:FE4,"R"))&gt;0)+((COUNTIF(Schedule!FF4:GK4,"●")+COUNTIF(Schedule!FF4:GK4,"R"))&gt;0)+((COUNTIF(Schedule!GL4:HQ4,"●")+COUNTIF(Schedule!GL4:HQ4,"R"))&gt;0)</f>
        <v/>
      </c>
      <c r="D6" s="12">
        <f>IF(B6&lt;TARGET_MIN,"BELOW MIN",IF(B6&gt;TARGET_MAX,"ABOVE MAX",IF((MAX((COUNTIF(Schedule!B4:AG4,"●")+COUNTIF(Schedule!B4:AG4,"R")),(COUNTIF(Schedule!AH4:BM4,"●")+COUNTIF(Schedule!AH4:BM4,"R")),(COUNTIF(Schedule!BN4:CS4,"●")+COUNTIF(Schedule!BN4:CS4,"R")),(COUNTIF(Schedule!CT4:DY4,"●")+COUNTIF(Schedule!CT4:DY4,"R")),(COUNTIF(Schedule!DZ4:FE4,"●")+COUNTIF(Schedule!DZ4:FE4,"R")),(COUNTIF(Schedule!FF4:GK4,"●")+COUNTIF(Schedule!FF4:GK4,"R")),(COUNTIF(Schedule!GL4:HQ4,"●")+COUNTIF(Schedule!GL4:HQ4,"R")))*(BLOCK_MIN/60))&gt;MAX_DAY,"OVER DAILY CAP","OK")))</f>
        <v/>
      </c>
      <c r="E6" s="32" t="inlineStr">
        <is>
          <t>Mon 8, Tue 5.5, Wed 8, Thu 0.5, Fri 8</t>
        </is>
      </c>
    </row>
    <row r="7">
      <c r="A7" s="6" t="inlineStr">
        <is>
          <t>Cleo</t>
        </is>
      </c>
      <c r="B7" s="12">
        <f>(COUNTIF(Schedule!B5:HQ5,"●")+COUNTIF(Schedule!B5:HQ5,"R"))*(BLOCK_MIN/60)</f>
        <v/>
      </c>
      <c r="C7" s="12">
        <f>((COUNTIF(Schedule!B5:AG5,"●")+COUNTIF(Schedule!B5:AG5,"R"))&gt;0)+((COUNTIF(Schedule!AH5:BM5,"●")+COUNTIF(Schedule!AH5:BM5,"R"))&gt;0)+((COUNTIF(Schedule!BN5:CS5,"●")+COUNTIF(Schedule!BN5:CS5,"R"))&gt;0)+((COUNTIF(Schedule!CT5:DY5,"●")+COUNTIF(Schedule!CT5:DY5,"R"))&gt;0)+((COUNTIF(Schedule!DZ5:FE5,"●")+COUNTIF(Schedule!DZ5:FE5,"R"))&gt;0)+((COUNTIF(Schedule!FF5:GK5,"●")+COUNTIF(Schedule!FF5:GK5,"R"))&gt;0)+((COUNTIF(Schedule!GL5:HQ5,"●")+COUNTIF(Schedule!GL5:HQ5,"R"))&gt;0)</f>
        <v/>
      </c>
      <c r="D7" s="12">
        <f>IF(B7&lt;TARGET_MIN,"BELOW MIN",IF(B7&gt;TARGET_MAX,"ABOVE MAX",IF((MAX((COUNTIF(Schedule!B5:AG5,"●")+COUNTIF(Schedule!B5:AG5,"R")),(COUNTIF(Schedule!AH5:BM5,"●")+COUNTIF(Schedule!AH5:BM5,"R")),(COUNTIF(Schedule!BN5:CS5,"●")+COUNTIF(Schedule!BN5:CS5,"R")),(COUNTIF(Schedule!CT5:DY5,"●")+COUNTIF(Schedule!CT5:DY5,"R")),(COUNTIF(Schedule!DZ5:FE5,"●")+COUNTIF(Schedule!DZ5:FE5,"R")),(COUNTIF(Schedule!FF5:GK5,"●")+COUNTIF(Schedule!FF5:GK5,"R")),(COUNTIF(Schedule!GL5:HQ5,"●")+COUNTIF(Schedule!GL5:HQ5,"R")))*(BLOCK_MIN/60))&gt;MAX_DAY,"OVER DAILY CAP","OK")))</f>
        <v/>
      </c>
      <c r="E7" s="32" t="inlineStr">
        <is>
          <t>Mon 2, Tue 8, Wed 2, Thu 8, Fri 4.5, Sat 8, Sun 2.5</t>
        </is>
      </c>
    </row>
    <row r="8">
      <c r="A8" s="6" t="inlineStr">
        <is>
          <t>Dario</t>
        </is>
      </c>
      <c r="B8" s="12">
        <f>(COUNTIF(Schedule!B6:HQ6,"●")+COUNTIF(Schedule!B6:HQ6,"R"))*(BLOCK_MIN/60)</f>
        <v/>
      </c>
      <c r="C8" s="12">
        <f>((COUNTIF(Schedule!B6:AG6,"●")+COUNTIF(Schedule!B6:AG6,"R"))&gt;0)+((COUNTIF(Schedule!AH6:BM6,"●")+COUNTIF(Schedule!AH6:BM6,"R"))&gt;0)+((COUNTIF(Schedule!BN6:CS6,"●")+COUNTIF(Schedule!BN6:CS6,"R"))&gt;0)+((COUNTIF(Schedule!CT6:DY6,"●")+COUNTIF(Schedule!CT6:DY6,"R"))&gt;0)+((COUNTIF(Schedule!DZ6:FE6,"●")+COUNTIF(Schedule!DZ6:FE6,"R"))&gt;0)+((COUNTIF(Schedule!FF6:GK6,"●")+COUNTIF(Schedule!FF6:GK6,"R"))&gt;0)+((COUNTIF(Schedule!GL6:HQ6,"●")+COUNTIF(Schedule!GL6:HQ6,"R"))&gt;0)</f>
        <v/>
      </c>
      <c r="D8" s="12">
        <f>IF(B8&lt;TARGET_MIN,"BELOW MIN",IF(B8&gt;TARGET_MAX,"ABOVE MAX",IF((MAX((COUNTIF(Schedule!B6:AG6,"●")+COUNTIF(Schedule!B6:AG6,"R")),(COUNTIF(Schedule!AH6:BM6,"●")+COUNTIF(Schedule!AH6:BM6,"R")),(COUNTIF(Schedule!BN6:CS6,"●")+COUNTIF(Schedule!BN6:CS6,"R")),(COUNTIF(Schedule!CT6:DY6,"●")+COUNTIF(Schedule!CT6:DY6,"R")),(COUNTIF(Schedule!DZ6:FE6,"●")+COUNTIF(Schedule!DZ6:FE6,"R")),(COUNTIF(Schedule!FF6:GK6,"●")+COUNTIF(Schedule!FF6:GK6,"R")),(COUNTIF(Schedule!GL6:HQ6,"●")+COUNTIF(Schedule!GL6:HQ6,"R")))*(BLOCK_MIN/60))&gt;MAX_DAY,"OVER DAILY CAP","OK")))</f>
        <v/>
      </c>
      <c r="E8" s="32" t="inlineStr">
        <is>
          <t>Mon 8, Tue 8, Thu 1.5, Fri 2.5, Sat 8, Sun 7</t>
        </is>
      </c>
    </row>
    <row r="10">
      <c r="A10" s="4" t="inlineStr">
        <is>
          <t>Coverage per time block</t>
        </is>
      </c>
    </row>
    <row r="11">
      <c r="A11" s="5" t="inlineStr">
        <is>
          <t>Day</t>
        </is>
      </c>
      <c r="B11" s="5" t="inlineStr">
        <is>
          <t>Time</t>
        </is>
      </c>
      <c r="C11" s="5" t="inlineStr">
        <is>
          <t>Scheduled</t>
        </is>
      </c>
      <c r="D11" s="5" t="inlineStr">
        <is>
          <t>Required</t>
        </is>
      </c>
      <c r="E11" s="5" t="inlineStr">
        <is>
          <t>Status</t>
        </is>
      </c>
    </row>
    <row r="12">
      <c r="A12" s="6" t="inlineStr">
        <is>
          <t>Mon</t>
        </is>
      </c>
      <c r="B12" s="6" t="inlineStr">
        <is>
          <t>7:00 AM</t>
        </is>
      </c>
      <c r="C12" s="12">
        <f>COUNTIF(Schedule!B3:B6,"●")+COUNTIF(Schedule!B3:B6,"R")</f>
        <v/>
      </c>
      <c r="D12" s="12">
        <f>WEEKDAY_STAFF</f>
        <v/>
      </c>
      <c r="E12" s="12">
        <f>IF(C12&lt;D12,"UNCOVERED","ok")</f>
        <v/>
      </c>
    </row>
    <row r="13">
      <c r="A13" s="6" t="inlineStr">
        <is>
          <t>Mon</t>
        </is>
      </c>
      <c r="B13" s="6" t="inlineStr">
        <is>
          <t>7:30 AM</t>
        </is>
      </c>
      <c r="C13" s="12">
        <f>COUNTIF(Schedule!C3:C6,"●")+COUNTIF(Schedule!C3:C6,"R")</f>
        <v/>
      </c>
      <c r="D13" s="12">
        <f>WEEKDAY_STAFF</f>
        <v/>
      </c>
      <c r="E13" s="12">
        <f>IF(C13&lt;D13,"UNCOVERED","ok")</f>
        <v/>
      </c>
    </row>
    <row r="14">
      <c r="A14" s="6" t="inlineStr">
        <is>
          <t>Mon</t>
        </is>
      </c>
      <c r="B14" s="6" t="inlineStr">
        <is>
          <t>8:00 AM</t>
        </is>
      </c>
      <c r="C14" s="12">
        <f>COUNTIF(Schedule!D3:D6,"●")+COUNTIF(Schedule!D3:D6,"R")</f>
        <v/>
      </c>
      <c r="D14" s="12">
        <f>WEEKDAY_STAFF</f>
        <v/>
      </c>
      <c r="E14" s="12">
        <f>IF(C14&lt;D14,"UNCOVERED","ok")</f>
        <v/>
      </c>
    </row>
    <row r="15">
      <c r="A15" s="6" t="inlineStr">
        <is>
          <t>Mon</t>
        </is>
      </c>
      <c r="B15" s="6" t="inlineStr">
        <is>
          <t>8:30 AM</t>
        </is>
      </c>
      <c r="C15" s="12">
        <f>COUNTIF(Schedule!E3:E6,"●")+COUNTIF(Schedule!E3:E6,"R")</f>
        <v/>
      </c>
      <c r="D15" s="12">
        <f>WEEKDAY_STAFF</f>
        <v/>
      </c>
      <c r="E15" s="12">
        <f>IF(C15&lt;D15,"UNCOVERED","ok")</f>
        <v/>
      </c>
    </row>
    <row r="16">
      <c r="A16" s="6" t="inlineStr">
        <is>
          <t>Mon</t>
        </is>
      </c>
      <c r="B16" s="6" t="inlineStr">
        <is>
          <t>9:00 AM</t>
        </is>
      </c>
      <c r="C16" s="12">
        <f>COUNTIF(Schedule!F3:F6,"●")+COUNTIF(Schedule!F3:F6,"R")</f>
        <v/>
      </c>
      <c r="D16" s="12">
        <f>WEEKDAY_STAFF</f>
        <v/>
      </c>
      <c r="E16" s="12">
        <f>IF(C16&lt;D16,"UNCOVERED","ok")</f>
        <v/>
      </c>
    </row>
    <row r="17">
      <c r="A17" s="6" t="inlineStr">
        <is>
          <t>Mon</t>
        </is>
      </c>
      <c r="B17" s="6" t="inlineStr">
        <is>
          <t>9:30 AM</t>
        </is>
      </c>
      <c r="C17" s="12">
        <f>COUNTIF(Schedule!G3:G6,"●")+COUNTIF(Schedule!G3:G6,"R")</f>
        <v/>
      </c>
      <c r="D17" s="12">
        <f>WEEKDAY_STAFF</f>
        <v/>
      </c>
      <c r="E17" s="12">
        <f>IF(C17&lt;D17,"UNCOVERED","ok")</f>
        <v/>
      </c>
    </row>
    <row r="18">
      <c r="A18" s="6" t="inlineStr">
        <is>
          <t>Mon</t>
        </is>
      </c>
      <c r="B18" s="6" t="inlineStr">
        <is>
          <t>10:00 AM</t>
        </is>
      </c>
      <c r="C18" s="12">
        <f>COUNTIF(Schedule!H3:H6,"●")+COUNTIF(Schedule!H3:H6,"R")</f>
        <v/>
      </c>
      <c r="D18" s="12">
        <f>WEEKDAY_STAFF</f>
        <v/>
      </c>
      <c r="E18" s="12">
        <f>IF(C18&lt;D18,"UNCOVERED","ok")</f>
        <v/>
      </c>
    </row>
    <row r="19">
      <c r="A19" s="6" t="inlineStr">
        <is>
          <t>Mon</t>
        </is>
      </c>
      <c r="B19" s="6" t="inlineStr">
        <is>
          <t>10:30 AM</t>
        </is>
      </c>
      <c r="C19" s="12">
        <f>COUNTIF(Schedule!I3:I6,"●")+COUNTIF(Schedule!I3:I6,"R")</f>
        <v/>
      </c>
      <c r="D19" s="12">
        <f>WEEKDAY_STAFF</f>
        <v/>
      </c>
      <c r="E19" s="12">
        <f>IF(C19&lt;D19,"UNCOVERED","ok")</f>
        <v/>
      </c>
    </row>
    <row r="20">
      <c r="A20" s="6" t="inlineStr">
        <is>
          <t>Mon</t>
        </is>
      </c>
      <c r="B20" s="6" t="inlineStr">
        <is>
          <t>11:00 AM</t>
        </is>
      </c>
      <c r="C20" s="12">
        <f>COUNTIF(Schedule!J3:J6,"●")+COUNTIF(Schedule!J3:J6,"R")</f>
        <v/>
      </c>
      <c r="D20" s="12">
        <f>WEEKDAY_STAFF</f>
        <v/>
      </c>
      <c r="E20" s="12">
        <f>IF(C20&lt;D20,"UNCOVERED","ok")</f>
        <v/>
      </c>
    </row>
    <row r="21">
      <c r="A21" s="6" t="inlineStr">
        <is>
          <t>Mon</t>
        </is>
      </c>
      <c r="B21" s="6" t="inlineStr">
        <is>
          <t>11:30 AM</t>
        </is>
      </c>
      <c r="C21" s="12">
        <f>COUNTIF(Schedule!K3:K6,"●")+COUNTIF(Schedule!K3:K6,"R")</f>
        <v/>
      </c>
      <c r="D21" s="12">
        <f>WEEKDAY_STAFF</f>
        <v/>
      </c>
      <c r="E21" s="12">
        <f>IF(C21&lt;D21,"UNCOVERED","ok")</f>
        <v/>
      </c>
    </row>
    <row r="22">
      <c r="A22" s="6" t="inlineStr">
        <is>
          <t>Mon</t>
        </is>
      </c>
      <c r="B22" s="6" t="inlineStr">
        <is>
          <t>12:00 PM</t>
        </is>
      </c>
      <c r="C22" s="12">
        <f>COUNTIF(Schedule!L3:L6,"●")+COUNTIF(Schedule!L3:L6,"R")</f>
        <v/>
      </c>
      <c r="D22" s="12">
        <f>WEEKDAY_STAFF</f>
        <v/>
      </c>
      <c r="E22" s="12">
        <f>IF(C22&lt;D22,"UNCOVERED","ok")</f>
        <v/>
      </c>
    </row>
    <row r="23">
      <c r="A23" s="6" t="inlineStr">
        <is>
          <t>Mon</t>
        </is>
      </c>
      <c r="B23" s="6" t="inlineStr">
        <is>
          <t>12:30 PM</t>
        </is>
      </c>
      <c r="C23" s="12">
        <f>COUNTIF(Schedule!M3:M6,"●")+COUNTIF(Schedule!M3:M6,"R")</f>
        <v/>
      </c>
      <c r="D23" s="12">
        <f>WEEKDAY_STAFF</f>
        <v/>
      </c>
      <c r="E23" s="12">
        <f>IF(C23&lt;D23,"UNCOVERED","ok")</f>
        <v/>
      </c>
    </row>
    <row r="24">
      <c r="A24" s="6" t="inlineStr">
        <is>
          <t>Mon</t>
        </is>
      </c>
      <c r="B24" s="6" t="inlineStr">
        <is>
          <t>1:00 PM</t>
        </is>
      </c>
      <c r="C24" s="12">
        <f>COUNTIF(Schedule!N3:N6,"●")+COUNTIF(Schedule!N3:N6,"R")</f>
        <v/>
      </c>
      <c r="D24" s="12">
        <f>WEEKDAY_STAFF</f>
        <v/>
      </c>
      <c r="E24" s="12">
        <f>IF(C24&lt;D24,"UNCOVERED","ok")</f>
        <v/>
      </c>
    </row>
    <row r="25">
      <c r="A25" s="6" t="inlineStr">
        <is>
          <t>Mon</t>
        </is>
      </c>
      <c r="B25" s="6" t="inlineStr">
        <is>
          <t>1:30 PM</t>
        </is>
      </c>
      <c r="C25" s="12">
        <f>COUNTIF(Schedule!O3:O6,"●")+COUNTIF(Schedule!O3:O6,"R")</f>
        <v/>
      </c>
      <c r="D25" s="12">
        <f>WEEKDAY_STAFF</f>
        <v/>
      </c>
      <c r="E25" s="12">
        <f>IF(C25&lt;D25,"UNCOVERED","ok")</f>
        <v/>
      </c>
    </row>
    <row r="26">
      <c r="A26" s="6" t="inlineStr">
        <is>
          <t>Mon</t>
        </is>
      </c>
      <c r="B26" s="6" t="inlineStr">
        <is>
          <t>2:00 PM</t>
        </is>
      </c>
      <c r="C26" s="12">
        <f>COUNTIF(Schedule!P3:P6,"●")+COUNTIF(Schedule!P3:P6,"R")</f>
        <v/>
      </c>
      <c r="D26" s="12">
        <f>WEEKDAY_STAFF</f>
        <v/>
      </c>
      <c r="E26" s="12">
        <f>IF(C26&lt;D26,"UNCOVERED","ok")</f>
        <v/>
      </c>
    </row>
    <row r="27">
      <c r="A27" s="6" t="inlineStr">
        <is>
          <t>Mon</t>
        </is>
      </c>
      <c r="B27" s="6" t="inlineStr">
        <is>
          <t>2:30 PM</t>
        </is>
      </c>
      <c r="C27" s="12">
        <f>COUNTIF(Schedule!Q3:Q6,"●")+COUNTIF(Schedule!Q3:Q6,"R")</f>
        <v/>
      </c>
      <c r="D27" s="12">
        <f>WEEKDAY_STAFF</f>
        <v/>
      </c>
      <c r="E27" s="12">
        <f>IF(C27&lt;D27,"UNCOVERED","ok")</f>
        <v/>
      </c>
    </row>
    <row r="28">
      <c r="A28" s="6" t="inlineStr">
        <is>
          <t>Mon</t>
        </is>
      </c>
      <c r="B28" s="6" t="inlineStr">
        <is>
          <t>3:00 PM</t>
        </is>
      </c>
      <c r="C28" s="12">
        <f>COUNTIF(Schedule!R3:R6,"●")+COUNTIF(Schedule!R3:R6,"R")</f>
        <v/>
      </c>
      <c r="D28" s="12">
        <f>WEEKDAY_STAFF</f>
        <v/>
      </c>
      <c r="E28" s="12">
        <f>IF(C28&lt;D28,"UNCOVERED","ok")</f>
        <v/>
      </c>
    </row>
    <row r="29">
      <c r="A29" s="6" t="inlineStr">
        <is>
          <t>Mon</t>
        </is>
      </c>
      <c r="B29" s="6" t="inlineStr">
        <is>
          <t>3:30 PM</t>
        </is>
      </c>
      <c r="C29" s="12">
        <f>COUNTIF(Schedule!S3:S6,"●")+COUNTIF(Schedule!S3:S6,"R")</f>
        <v/>
      </c>
      <c r="D29" s="12">
        <f>WEEKDAY_STAFF</f>
        <v/>
      </c>
      <c r="E29" s="12">
        <f>IF(C29&lt;D29,"UNCOVERED","ok")</f>
        <v/>
      </c>
    </row>
    <row r="30">
      <c r="A30" s="6" t="inlineStr">
        <is>
          <t>Mon</t>
        </is>
      </c>
      <c r="B30" s="6" t="inlineStr">
        <is>
          <t>4:00 PM</t>
        </is>
      </c>
      <c r="C30" s="12">
        <f>COUNTIF(Schedule!T3:T6,"●")+COUNTIF(Schedule!T3:T6,"R")</f>
        <v/>
      </c>
      <c r="D30" s="12">
        <f>WEEKDAY_STAFF</f>
        <v/>
      </c>
      <c r="E30" s="12">
        <f>IF(C30&lt;D30,"UNCOVERED","ok")</f>
        <v/>
      </c>
    </row>
    <row r="31">
      <c r="A31" s="6" t="inlineStr">
        <is>
          <t>Mon</t>
        </is>
      </c>
      <c r="B31" s="6" t="inlineStr">
        <is>
          <t>4:30 PM</t>
        </is>
      </c>
      <c r="C31" s="12">
        <f>COUNTIF(Schedule!U3:U6,"●")+COUNTIF(Schedule!U3:U6,"R")</f>
        <v/>
      </c>
      <c r="D31" s="12">
        <f>WEEKDAY_STAFF</f>
        <v/>
      </c>
      <c r="E31" s="12">
        <f>IF(C31&lt;D31,"UNCOVERED","ok")</f>
        <v/>
      </c>
    </row>
    <row r="32">
      <c r="A32" s="6" t="inlineStr">
        <is>
          <t>Mon</t>
        </is>
      </c>
      <c r="B32" s="6" t="inlineStr">
        <is>
          <t>5:00 PM</t>
        </is>
      </c>
      <c r="C32" s="12">
        <f>COUNTIF(Schedule!V3:V6,"●")+COUNTIF(Schedule!V3:V6,"R")</f>
        <v/>
      </c>
      <c r="D32" s="12">
        <f>WEEKDAY_STAFF</f>
        <v/>
      </c>
      <c r="E32" s="12">
        <f>IF(C32&lt;D32,"UNCOVERED","ok")</f>
        <v/>
      </c>
    </row>
    <row r="33">
      <c r="A33" s="6" t="inlineStr">
        <is>
          <t>Mon</t>
        </is>
      </c>
      <c r="B33" s="6" t="inlineStr">
        <is>
          <t>5:30 PM</t>
        </is>
      </c>
      <c r="C33" s="12">
        <f>COUNTIF(Schedule!W3:W6,"●")+COUNTIF(Schedule!W3:W6,"R")</f>
        <v/>
      </c>
      <c r="D33" s="12">
        <f>WEEKDAY_STAFF</f>
        <v/>
      </c>
      <c r="E33" s="12">
        <f>IF(C33&lt;D33,"UNCOVERED","ok")</f>
        <v/>
      </c>
    </row>
    <row r="34">
      <c r="A34" s="6" t="inlineStr">
        <is>
          <t>Mon</t>
        </is>
      </c>
      <c r="B34" s="6" t="inlineStr">
        <is>
          <t>6:00 PM</t>
        </is>
      </c>
      <c r="C34" s="12">
        <f>COUNTIF(Schedule!X3:X6,"●")+COUNTIF(Schedule!X3:X6,"R")</f>
        <v/>
      </c>
      <c r="D34" s="12">
        <f>WEEKDAY_STAFF</f>
        <v/>
      </c>
      <c r="E34" s="12">
        <f>IF(C34&lt;D34,"UNCOVERED","ok")</f>
        <v/>
      </c>
    </row>
    <row r="35">
      <c r="A35" s="6" t="inlineStr">
        <is>
          <t>Mon</t>
        </is>
      </c>
      <c r="B35" s="6" t="inlineStr">
        <is>
          <t>6:30 PM</t>
        </is>
      </c>
      <c r="C35" s="12">
        <f>COUNTIF(Schedule!Y3:Y6,"●")+COUNTIF(Schedule!Y3:Y6,"R")</f>
        <v/>
      </c>
      <c r="D35" s="12">
        <f>WEEKDAY_STAFF</f>
        <v/>
      </c>
      <c r="E35" s="12">
        <f>IF(C35&lt;D35,"UNCOVERED","ok")</f>
        <v/>
      </c>
    </row>
    <row r="36">
      <c r="A36" s="6" t="inlineStr">
        <is>
          <t>Mon</t>
        </is>
      </c>
      <c r="B36" s="6" t="inlineStr">
        <is>
          <t>7:00 PM</t>
        </is>
      </c>
      <c r="C36" s="12">
        <f>COUNTIF(Schedule!Z3:Z6,"●")+COUNTIF(Schedule!Z3:Z6,"R")</f>
        <v/>
      </c>
      <c r="D36" s="12">
        <f>WEEKDAY_STAFF</f>
        <v/>
      </c>
      <c r="E36" s="12">
        <f>IF(C36&lt;D36,"UNCOVERED","ok")</f>
        <v/>
      </c>
    </row>
    <row r="37">
      <c r="A37" s="6" t="inlineStr">
        <is>
          <t>Mon</t>
        </is>
      </c>
      <c r="B37" s="6" t="inlineStr">
        <is>
          <t>7:30 PM</t>
        </is>
      </c>
      <c r="C37" s="12">
        <f>COUNTIF(Schedule!AA3:AA6,"●")+COUNTIF(Schedule!AA3:AA6,"R")</f>
        <v/>
      </c>
      <c r="D37" s="12">
        <f>WEEKDAY_STAFF</f>
        <v/>
      </c>
      <c r="E37" s="12">
        <f>IF(C37&lt;D37,"UNCOVERED","ok")</f>
        <v/>
      </c>
    </row>
    <row r="38">
      <c r="A38" s="6" t="inlineStr">
        <is>
          <t>Mon</t>
        </is>
      </c>
      <c r="B38" s="6" t="inlineStr">
        <is>
          <t>8:00 PM</t>
        </is>
      </c>
      <c r="C38" s="12">
        <f>COUNTIF(Schedule!AB3:AB6,"●")+COUNTIF(Schedule!AB3:AB6,"R")</f>
        <v/>
      </c>
      <c r="D38" s="12">
        <f>WEEKDAY_STAFF</f>
        <v/>
      </c>
      <c r="E38" s="12">
        <f>IF(C38&lt;D38,"UNCOVERED","ok")</f>
        <v/>
      </c>
    </row>
    <row r="39">
      <c r="A39" s="6" t="inlineStr">
        <is>
          <t>Mon</t>
        </is>
      </c>
      <c r="B39" s="6" t="inlineStr">
        <is>
          <t>8:30 PM</t>
        </is>
      </c>
      <c r="C39" s="12">
        <f>COUNTIF(Schedule!AC3:AC6,"●")+COUNTIF(Schedule!AC3:AC6,"R")</f>
        <v/>
      </c>
      <c r="D39" s="12">
        <f>WEEKDAY_STAFF</f>
        <v/>
      </c>
      <c r="E39" s="12">
        <f>IF(C39&lt;D39,"UNCOVERED","ok")</f>
        <v/>
      </c>
    </row>
    <row r="40">
      <c r="A40" s="6" t="inlineStr">
        <is>
          <t>Mon</t>
        </is>
      </c>
      <c r="B40" s="6" t="inlineStr">
        <is>
          <t>9:00 PM</t>
        </is>
      </c>
      <c r="C40" s="12">
        <f>COUNTIF(Schedule!AD3:AD6,"●")+COUNTIF(Schedule!AD3:AD6,"R")</f>
        <v/>
      </c>
      <c r="D40" s="12">
        <f>WEEKDAY_STAFF</f>
        <v/>
      </c>
      <c r="E40" s="12">
        <f>IF(C40&lt;D40,"UNCOVERED","ok")</f>
        <v/>
      </c>
    </row>
    <row r="41">
      <c r="A41" s="6" t="inlineStr">
        <is>
          <t>Mon</t>
        </is>
      </c>
      <c r="B41" s="6" t="inlineStr">
        <is>
          <t>9:30 PM</t>
        </is>
      </c>
      <c r="C41" s="12">
        <f>COUNTIF(Schedule!AE3:AE6,"●")+COUNTIF(Schedule!AE3:AE6,"R")</f>
        <v/>
      </c>
      <c r="D41" s="12">
        <f>WEEKDAY_STAFF</f>
        <v/>
      </c>
      <c r="E41" s="12">
        <f>IF(C41&lt;D41,"UNCOVERED","ok")</f>
        <v/>
      </c>
    </row>
    <row r="42">
      <c r="A42" s="6" t="inlineStr">
        <is>
          <t>Mon</t>
        </is>
      </c>
      <c r="B42" s="6" t="inlineStr">
        <is>
          <t>10:00 PM</t>
        </is>
      </c>
      <c r="C42" s="12">
        <f>COUNTIF(Schedule!AF3:AF6,"●")+COUNTIF(Schedule!AF3:AF6,"R")</f>
        <v/>
      </c>
      <c r="D42" s="12">
        <f>WEEKDAY_STAFF</f>
        <v/>
      </c>
      <c r="E42" s="12">
        <f>IF(C42&lt;D42,"UNCOVERED","ok")</f>
        <v/>
      </c>
    </row>
    <row r="43">
      <c r="A43" s="6" t="inlineStr">
        <is>
          <t>Mon</t>
        </is>
      </c>
      <c r="B43" s="6" t="inlineStr">
        <is>
          <t>10:30 PM</t>
        </is>
      </c>
      <c r="C43" s="12">
        <f>COUNTIF(Schedule!AG3:AG6,"●")+COUNTIF(Schedule!AG3:AG6,"R")</f>
        <v/>
      </c>
      <c r="D43" s="12">
        <f>WEEKDAY_STAFF</f>
        <v/>
      </c>
      <c r="E43" s="12">
        <f>IF(C43&lt;D43,"UNCOVERED","ok")</f>
        <v/>
      </c>
    </row>
    <row r="44">
      <c r="A44" s="6" t="inlineStr">
        <is>
          <t>Tue</t>
        </is>
      </c>
      <c r="B44" s="6" t="inlineStr">
        <is>
          <t>7:00 AM</t>
        </is>
      </c>
      <c r="C44" s="12">
        <f>COUNTIF(Schedule!AH3:AH6,"●")+COUNTIF(Schedule!AH3:AH6,"R")</f>
        <v/>
      </c>
      <c r="D44" s="12">
        <f>WEEKDAY_STAFF</f>
        <v/>
      </c>
      <c r="E44" s="12">
        <f>IF(C44&lt;D44,"UNCOVERED","ok")</f>
        <v/>
      </c>
    </row>
    <row r="45">
      <c r="A45" s="6" t="inlineStr">
        <is>
          <t>Tue</t>
        </is>
      </c>
      <c r="B45" s="6" t="inlineStr">
        <is>
          <t>7:30 AM</t>
        </is>
      </c>
      <c r="C45" s="12">
        <f>COUNTIF(Schedule!AI3:AI6,"●")+COUNTIF(Schedule!AI3:AI6,"R")</f>
        <v/>
      </c>
      <c r="D45" s="12">
        <f>WEEKDAY_STAFF</f>
        <v/>
      </c>
      <c r="E45" s="12">
        <f>IF(C45&lt;D45,"UNCOVERED","ok")</f>
        <v/>
      </c>
    </row>
    <row r="46">
      <c r="A46" s="6" t="inlineStr">
        <is>
          <t>Tue</t>
        </is>
      </c>
      <c r="B46" s="6" t="inlineStr">
        <is>
          <t>8:00 AM</t>
        </is>
      </c>
      <c r="C46" s="12">
        <f>COUNTIF(Schedule!AJ3:AJ6,"●")+COUNTIF(Schedule!AJ3:AJ6,"R")</f>
        <v/>
      </c>
      <c r="D46" s="12">
        <f>WEEKDAY_STAFF</f>
        <v/>
      </c>
      <c r="E46" s="12">
        <f>IF(C46&lt;D46,"UNCOVERED","ok")</f>
        <v/>
      </c>
    </row>
    <row r="47">
      <c r="A47" s="6" t="inlineStr">
        <is>
          <t>Tue</t>
        </is>
      </c>
      <c r="B47" s="6" t="inlineStr">
        <is>
          <t>8:30 AM</t>
        </is>
      </c>
      <c r="C47" s="12">
        <f>COUNTIF(Schedule!AK3:AK6,"●")+COUNTIF(Schedule!AK3:AK6,"R")</f>
        <v/>
      </c>
      <c r="D47" s="12">
        <f>WEEKDAY_STAFF</f>
        <v/>
      </c>
      <c r="E47" s="12">
        <f>IF(C47&lt;D47,"UNCOVERED","ok")</f>
        <v/>
      </c>
    </row>
    <row r="48">
      <c r="A48" s="6" t="inlineStr">
        <is>
          <t>Tue</t>
        </is>
      </c>
      <c r="B48" s="6" t="inlineStr">
        <is>
          <t>9:00 AM</t>
        </is>
      </c>
      <c r="C48" s="12">
        <f>COUNTIF(Schedule!AL3:AL6,"●")+COUNTIF(Schedule!AL3:AL6,"R")</f>
        <v/>
      </c>
      <c r="D48" s="12">
        <f>WEEKDAY_STAFF</f>
        <v/>
      </c>
      <c r="E48" s="12">
        <f>IF(C48&lt;D48,"UNCOVERED","ok")</f>
        <v/>
      </c>
    </row>
    <row r="49">
      <c r="A49" s="6" t="inlineStr">
        <is>
          <t>Tue</t>
        </is>
      </c>
      <c r="B49" s="6" t="inlineStr">
        <is>
          <t>9:30 AM</t>
        </is>
      </c>
      <c r="C49" s="12">
        <f>COUNTIF(Schedule!AM3:AM6,"●")+COUNTIF(Schedule!AM3:AM6,"R")</f>
        <v/>
      </c>
      <c r="D49" s="12">
        <f>WEEKDAY_STAFF</f>
        <v/>
      </c>
      <c r="E49" s="12">
        <f>IF(C49&lt;D49,"UNCOVERED","ok")</f>
        <v/>
      </c>
    </row>
    <row r="50">
      <c r="A50" s="6" t="inlineStr">
        <is>
          <t>Tue</t>
        </is>
      </c>
      <c r="B50" s="6" t="inlineStr">
        <is>
          <t>10:00 AM</t>
        </is>
      </c>
      <c r="C50" s="12">
        <f>COUNTIF(Schedule!AN3:AN6,"●")+COUNTIF(Schedule!AN3:AN6,"R")</f>
        <v/>
      </c>
      <c r="D50" s="12">
        <f>WEEKDAY_STAFF</f>
        <v/>
      </c>
      <c r="E50" s="12">
        <f>IF(C50&lt;D50,"UNCOVERED","ok")</f>
        <v/>
      </c>
    </row>
    <row r="51">
      <c r="A51" s="6" t="inlineStr">
        <is>
          <t>Tue</t>
        </is>
      </c>
      <c r="B51" s="6" t="inlineStr">
        <is>
          <t>10:30 AM</t>
        </is>
      </c>
      <c r="C51" s="12">
        <f>COUNTIF(Schedule!AO3:AO6,"●")+COUNTIF(Schedule!AO3:AO6,"R")</f>
        <v/>
      </c>
      <c r="D51" s="12">
        <f>WEEKDAY_STAFF</f>
        <v/>
      </c>
      <c r="E51" s="12">
        <f>IF(C51&lt;D51,"UNCOVERED","ok")</f>
        <v/>
      </c>
    </row>
    <row r="52">
      <c r="A52" s="6" t="inlineStr">
        <is>
          <t>Tue</t>
        </is>
      </c>
      <c r="B52" s="6" t="inlineStr">
        <is>
          <t>11:00 AM</t>
        </is>
      </c>
      <c r="C52" s="12">
        <f>COUNTIF(Schedule!AP3:AP6,"●")+COUNTIF(Schedule!AP3:AP6,"R")</f>
        <v/>
      </c>
      <c r="D52" s="12">
        <f>WEEKDAY_STAFF</f>
        <v/>
      </c>
      <c r="E52" s="12">
        <f>IF(C52&lt;D52,"UNCOVERED","ok")</f>
        <v/>
      </c>
    </row>
    <row r="53">
      <c r="A53" s="6" t="inlineStr">
        <is>
          <t>Tue</t>
        </is>
      </c>
      <c r="B53" s="6" t="inlineStr">
        <is>
          <t>11:30 AM</t>
        </is>
      </c>
      <c r="C53" s="12">
        <f>COUNTIF(Schedule!AQ3:AQ6,"●")+COUNTIF(Schedule!AQ3:AQ6,"R")</f>
        <v/>
      </c>
      <c r="D53" s="12">
        <f>WEEKDAY_STAFF</f>
        <v/>
      </c>
      <c r="E53" s="12">
        <f>IF(C53&lt;D53,"UNCOVERED","ok")</f>
        <v/>
      </c>
    </row>
    <row r="54">
      <c r="A54" s="6" t="inlineStr">
        <is>
          <t>Tue</t>
        </is>
      </c>
      <c r="B54" s="6" t="inlineStr">
        <is>
          <t>12:00 PM</t>
        </is>
      </c>
      <c r="C54" s="12">
        <f>COUNTIF(Schedule!AR3:AR6,"●")+COUNTIF(Schedule!AR3:AR6,"R")</f>
        <v/>
      </c>
      <c r="D54" s="12">
        <f>WEEKDAY_STAFF</f>
        <v/>
      </c>
      <c r="E54" s="12">
        <f>IF(C54&lt;D54,"UNCOVERED","ok")</f>
        <v/>
      </c>
    </row>
    <row r="55">
      <c r="A55" s="6" t="inlineStr">
        <is>
          <t>Tue</t>
        </is>
      </c>
      <c r="B55" s="6" t="inlineStr">
        <is>
          <t>12:30 PM</t>
        </is>
      </c>
      <c r="C55" s="12">
        <f>COUNTIF(Schedule!AS3:AS6,"●")+COUNTIF(Schedule!AS3:AS6,"R")</f>
        <v/>
      </c>
      <c r="D55" s="12">
        <f>WEEKDAY_STAFF</f>
        <v/>
      </c>
      <c r="E55" s="12">
        <f>IF(C55&lt;D55,"UNCOVERED","ok")</f>
        <v/>
      </c>
    </row>
    <row r="56">
      <c r="A56" s="6" t="inlineStr">
        <is>
          <t>Tue</t>
        </is>
      </c>
      <c r="B56" s="6" t="inlineStr">
        <is>
          <t>1:00 PM</t>
        </is>
      </c>
      <c r="C56" s="12">
        <f>COUNTIF(Schedule!AT3:AT6,"●")+COUNTIF(Schedule!AT3:AT6,"R")</f>
        <v/>
      </c>
      <c r="D56" s="12">
        <f>WEEKDAY_STAFF</f>
        <v/>
      </c>
      <c r="E56" s="12">
        <f>IF(C56&lt;D56,"UNCOVERED","ok")</f>
        <v/>
      </c>
    </row>
    <row r="57">
      <c r="A57" s="6" t="inlineStr">
        <is>
          <t>Tue</t>
        </is>
      </c>
      <c r="B57" s="6" t="inlineStr">
        <is>
          <t>1:30 PM</t>
        </is>
      </c>
      <c r="C57" s="12">
        <f>COUNTIF(Schedule!AU3:AU6,"●")+COUNTIF(Schedule!AU3:AU6,"R")</f>
        <v/>
      </c>
      <c r="D57" s="12">
        <f>WEEKDAY_STAFF</f>
        <v/>
      </c>
      <c r="E57" s="12">
        <f>IF(C57&lt;D57,"UNCOVERED","ok")</f>
        <v/>
      </c>
    </row>
    <row r="58">
      <c r="A58" s="6" t="inlineStr">
        <is>
          <t>Tue</t>
        </is>
      </c>
      <c r="B58" s="6" t="inlineStr">
        <is>
          <t>2:00 PM</t>
        </is>
      </c>
      <c r="C58" s="12">
        <f>COUNTIF(Schedule!AV3:AV6,"●")+COUNTIF(Schedule!AV3:AV6,"R")</f>
        <v/>
      </c>
      <c r="D58" s="12">
        <f>WEEKDAY_STAFF</f>
        <v/>
      </c>
      <c r="E58" s="12">
        <f>IF(C58&lt;D58,"UNCOVERED","ok")</f>
        <v/>
      </c>
    </row>
    <row r="59">
      <c r="A59" s="6" t="inlineStr">
        <is>
          <t>Tue</t>
        </is>
      </c>
      <c r="B59" s="6" t="inlineStr">
        <is>
          <t>2:30 PM</t>
        </is>
      </c>
      <c r="C59" s="12">
        <f>COUNTIF(Schedule!AW3:AW6,"●")+COUNTIF(Schedule!AW3:AW6,"R")</f>
        <v/>
      </c>
      <c r="D59" s="12">
        <f>WEEKDAY_STAFF</f>
        <v/>
      </c>
      <c r="E59" s="12">
        <f>IF(C59&lt;D59,"UNCOVERED","ok")</f>
        <v/>
      </c>
    </row>
    <row r="60">
      <c r="A60" s="6" t="inlineStr">
        <is>
          <t>Tue</t>
        </is>
      </c>
      <c r="B60" s="6" t="inlineStr">
        <is>
          <t>3:00 PM</t>
        </is>
      </c>
      <c r="C60" s="12">
        <f>COUNTIF(Schedule!AX3:AX6,"●")+COUNTIF(Schedule!AX3:AX6,"R")</f>
        <v/>
      </c>
      <c r="D60" s="12">
        <f>WEEKDAY_STAFF</f>
        <v/>
      </c>
      <c r="E60" s="12">
        <f>IF(C60&lt;D60,"UNCOVERED","ok")</f>
        <v/>
      </c>
    </row>
    <row r="61">
      <c r="A61" s="6" t="inlineStr">
        <is>
          <t>Tue</t>
        </is>
      </c>
      <c r="B61" s="6" t="inlineStr">
        <is>
          <t>3:30 PM</t>
        </is>
      </c>
      <c r="C61" s="12">
        <f>COUNTIF(Schedule!AY3:AY6,"●")+COUNTIF(Schedule!AY3:AY6,"R")</f>
        <v/>
      </c>
      <c r="D61" s="12">
        <f>WEEKDAY_STAFF</f>
        <v/>
      </c>
      <c r="E61" s="12">
        <f>IF(C61&lt;D61,"UNCOVERED","ok")</f>
        <v/>
      </c>
    </row>
    <row r="62">
      <c r="A62" s="6" t="inlineStr">
        <is>
          <t>Tue</t>
        </is>
      </c>
      <c r="B62" s="6" t="inlineStr">
        <is>
          <t>4:00 PM</t>
        </is>
      </c>
      <c r="C62" s="12">
        <f>COUNTIF(Schedule!AZ3:AZ6,"●")+COUNTIF(Schedule!AZ3:AZ6,"R")</f>
        <v/>
      </c>
      <c r="D62" s="12">
        <f>WEEKDAY_STAFF</f>
        <v/>
      </c>
      <c r="E62" s="12">
        <f>IF(C62&lt;D62,"UNCOVERED","ok")</f>
        <v/>
      </c>
    </row>
    <row r="63">
      <c r="A63" s="6" t="inlineStr">
        <is>
          <t>Tue</t>
        </is>
      </c>
      <c r="B63" s="6" t="inlineStr">
        <is>
          <t>4:30 PM</t>
        </is>
      </c>
      <c r="C63" s="12">
        <f>COUNTIF(Schedule!BA3:BA6,"●")+COUNTIF(Schedule!BA3:BA6,"R")</f>
        <v/>
      </c>
      <c r="D63" s="12">
        <f>WEEKDAY_STAFF</f>
        <v/>
      </c>
      <c r="E63" s="12">
        <f>IF(C63&lt;D63,"UNCOVERED","ok")</f>
        <v/>
      </c>
    </row>
    <row r="64">
      <c r="A64" s="6" t="inlineStr">
        <is>
          <t>Tue</t>
        </is>
      </c>
      <c r="B64" s="6" t="inlineStr">
        <is>
          <t>5:00 PM</t>
        </is>
      </c>
      <c r="C64" s="12">
        <f>COUNTIF(Schedule!BB3:BB6,"●")+COUNTIF(Schedule!BB3:BB6,"R")</f>
        <v/>
      </c>
      <c r="D64" s="12">
        <f>WEEKDAY_STAFF</f>
        <v/>
      </c>
      <c r="E64" s="12">
        <f>IF(C64&lt;D64,"UNCOVERED","ok")</f>
        <v/>
      </c>
    </row>
    <row r="65">
      <c r="A65" s="6" t="inlineStr">
        <is>
          <t>Tue</t>
        </is>
      </c>
      <c r="B65" s="6" t="inlineStr">
        <is>
          <t>5:30 PM</t>
        </is>
      </c>
      <c r="C65" s="12">
        <f>COUNTIF(Schedule!BC3:BC6,"●")+COUNTIF(Schedule!BC3:BC6,"R")</f>
        <v/>
      </c>
      <c r="D65" s="12">
        <f>WEEKDAY_STAFF</f>
        <v/>
      </c>
      <c r="E65" s="12">
        <f>IF(C65&lt;D65,"UNCOVERED","ok")</f>
        <v/>
      </c>
    </row>
    <row r="66">
      <c r="A66" s="6" t="inlineStr">
        <is>
          <t>Tue</t>
        </is>
      </c>
      <c r="B66" s="6" t="inlineStr">
        <is>
          <t>6:00 PM</t>
        </is>
      </c>
      <c r="C66" s="12">
        <f>COUNTIF(Schedule!BD3:BD6,"●")+COUNTIF(Schedule!BD3:BD6,"R")</f>
        <v/>
      </c>
      <c r="D66" s="12">
        <f>WEEKDAY_STAFF</f>
        <v/>
      </c>
      <c r="E66" s="12">
        <f>IF(C66&lt;D66,"UNCOVERED","ok")</f>
        <v/>
      </c>
    </row>
    <row r="67">
      <c r="A67" s="6" t="inlineStr">
        <is>
          <t>Tue</t>
        </is>
      </c>
      <c r="B67" s="6" t="inlineStr">
        <is>
          <t>6:30 PM</t>
        </is>
      </c>
      <c r="C67" s="12">
        <f>COUNTIF(Schedule!BE3:BE6,"●")+COUNTIF(Schedule!BE3:BE6,"R")</f>
        <v/>
      </c>
      <c r="D67" s="12">
        <f>WEEKDAY_STAFF</f>
        <v/>
      </c>
      <c r="E67" s="12">
        <f>IF(C67&lt;D67,"UNCOVERED","ok")</f>
        <v/>
      </c>
    </row>
    <row r="68">
      <c r="A68" s="6" t="inlineStr">
        <is>
          <t>Tue</t>
        </is>
      </c>
      <c r="B68" s="6" t="inlineStr">
        <is>
          <t>7:00 PM</t>
        </is>
      </c>
      <c r="C68" s="12">
        <f>COUNTIF(Schedule!BF3:BF6,"●")+COUNTIF(Schedule!BF3:BF6,"R")</f>
        <v/>
      </c>
      <c r="D68" s="12">
        <f>WEEKDAY_STAFF</f>
        <v/>
      </c>
      <c r="E68" s="12">
        <f>IF(C68&lt;D68,"UNCOVERED","ok")</f>
        <v/>
      </c>
    </row>
    <row r="69">
      <c r="A69" s="6" t="inlineStr">
        <is>
          <t>Tue</t>
        </is>
      </c>
      <c r="B69" s="6" t="inlineStr">
        <is>
          <t>7:30 PM</t>
        </is>
      </c>
      <c r="C69" s="12">
        <f>COUNTIF(Schedule!BG3:BG6,"●")+COUNTIF(Schedule!BG3:BG6,"R")</f>
        <v/>
      </c>
      <c r="D69" s="12">
        <f>WEEKDAY_STAFF</f>
        <v/>
      </c>
      <c r="E69" s="12">
        <f>IF(C69&lt;D69,"UNCOVERED","ok")</f>
        <v/>
      </c>
    </row>
    <row r="70">
      <c r="A70" s="6" t="inlineStr">
        <is>
          <t>Tue</t>
        </is>
      </c>
      <c r="B70" s="6" t="inlineStr">
        <is>
          <t>8:00 PM</t>
        </is>
      </c>
      <c r="C70" s="12">
        <f>COUNTIF(Schedule!BH3:BH6,"●")+COUNTIF(Schedule!BH3:BH6,"R")</f>
        <v/>
      </c>
      <c r="D70" s="12">
        <f>WEEKDAY_STAFF</f>
        <v/>
      </c>
      <c r="E70" s="12">
        <f>IF(C70&lt;D70,"UNCOVERED","ok")</f>
        <v/>
      </c>
    </row>
    <row r="71">
      <c r="A71" s="6" t="inlineStr">
        <is>
          <t>Tue</t>
        </is>
      </c>
      <c r="B71" s="6" t="inlineStr">
        <is>
          <t>8:30 PM</t>
        </is>
      </c>
      <c r="C71" s="12">
        <f>COUNTIF(Schedule!BI3:BI6,"●")+COUNTIF(Schedule!BI3:BI6,"R")</f>
        <v/>
      </c>
      <c r="D71" s="12">
        <f>WEEKDAY_STAFF</f>
        <v/>
      </c>
      <c r="E71" s="12">
        <f>IF(C71&lt;D71,"UNCOVERED","ok")</f>
        <v/>
      </c>
    </row>
    <row r="72">
      <c r="A72" s="6" t="inlineStr">
        <is>
          <t>Tue</t>
        </is>
      </c>
      <c r="B72" s="6" t="inlineStr">
        <is>
          <t>9:00 PM</t>
        </is>
      </c>
      <c r="C72" s="12">
        <f>COUNTIF(Schedule!BJ3:BJ6,"●")+COUNTIF(Schedule!BJ3:BJ6,"R")</f>
        <v/>
      </c>
      <c r="D72" s="12">
        <f>WEEKDAY_STAFF</f>
        <v/>
      </c>
      <c r="E72" s="12">
        <f>IF(C72&lt;D72,"UNCOVERED","ok")</f>
        <v/>
      </c>
    </row>
    <row r="73">
      <c r="A73" s="6" t="inlineStr">
        <is>
          <t>Tue</t>
        </is>
      </c>
      <c r="B73" s="6" t="inlineStr">
        <is>
          <t>9:30 PM</t>
        </is>
      </c>
      <c r="C73" s="12">
        <f>COUNTIF(Schedule!BK3:BK6,"●")+COUNTIF(Schedule!BK3:BK6,"R")</f>
        <v/>
      </c>
      <c r="D73" s="12">
        <f>WEEKDAY_STAFF</f>
        <v/>
      </c>
      <c r="E73" s="12">
        <f>IF(C73&lt;D73,"UNCOVERED","ok")</f>
        <v/>
      </c>
    </row>
    <row r="74">
      <c r="A74" s="6" t="inlineStr">
        <is>
          <t>Tue</t>
        </is>
      </c>
      <c r="B74" s="6" t="inlineStr">
        <is>
          <t>10:00 PM</t>
        </is>
      </c>
      <c r="C74" s="12">
        <f>COUNTIF(Schedule!BL3:BL6,"●")+COUNTIF(Schedule!BL3:BL6,"R")</f>
        <v/>
      </c>
      <c r="D74" s="12">
        <f>WEEKDAY_STAFF</f>
        <v/>
      </c>
      <c r="E74" s="12">
        <f>IF(C74&lt;D74,"UNCOVERED","ok")</f>
        <v/>
      </c>
    </row>
    <row r="75">
      <c r="A75" s="6" t="inlineStr">
        <is>
          <t>Tue</t>
        </is>
      </c>
      <c r="B75" s="6" t="inlineStr">
        <is>
          <t>10:30 PM</t>
        </is>
      </c>
      <c r="C75" s="12">
        <f>COUNTIF(Schedule!BM3:BM6,"●")+COUNTIF(Schedule!BM3:BM6,"R")</f>
        <v/>
      </c>
      <c r="D75" s="12">
        <f>WEEKDAY_STAFF</f>
        <v/>
      </c>
      <c r="E75" s="12">
        <f>IF(C75&lt;D75,"UNCOVERED","ok")</f>
        <v/>
      </c>
    </row>
    <row r="76">
      <c r="A76" s="6" t="inlineStr">
        <is>
          <t>Wed</t>
        </is>
      </c>
      <c r="B76" s="6" t="inlineStr">
        <is>
          <t>7:00 AM</t>
        </is>
      </c>
      <c r="C76" s="12">
        <f>COUNTIF(Schedule!BN3:BN6,"●")+COUNTIF(Schedule!BN3:BN6,"R")</f>
        <v/>
      </c>
      <c r="D76" s="12">
        <f>WEEKDAY_STAFF</f>
        <v/>
      </c>
      <c r="E76" s="12">
        <f>IF(C76&lt;D76,"UNCOVERED","ok")</f>
        <v/>
      </c>
    </row>
    <row r="77">
      <c r="A77" s="6" t="inlineStr">
        <is>
          <t>Wed</t>
        </is>
      </c>
      <c r="B77" s="6" t="inlineStr">
        <is>
          <t>7:30 AM</t>
        </is>
      </c>
      <c r="C77" s="12">
        <f>COUNTIF(Schedule!BO3:BO6,"●")+COUNTIF(Schedule!BO3:BO6,"R")</f>
        <v/>
      </c>
      <c r="D77" s="12">
        <f>WEEKDAY_STAFF</f>
        <v/>
      </c>
      <c r="E77" s="12">
        <f>IF(C77&lt;D77,"UNCOVERED","ok")</f>
        <v/>
      </c>
    </row>
    <row r="78">
      <c r="A78" s="6" t="inlineStr">
        <is>
          <t>Wed</t>
        </is>
      </c>
      <c r="B78" s="6" t="inlineStr">
        <is>
          <t>8:00 AM</t>
        </is>
      </c>
      <c r="C78" s="12">
        <f>COUNTIF(Schedule!BP3:BP6,"●")+COUNTIF(Schedule!BP3:BP6,"R")</f>
        <v/>
      </c>
      <c r="D78" s="12">
        <f>WEEKDAY_STAFF</f>
        <v/>
      </c>
      <c r="E78" s="12">
        <f>IF(C78&lt;D78,"UNCOVERED","ok")</f>
        <v/>
      </c>
    </row>
    <row r="79">
      <c r="A79" s="6" t="inlineStr">
        <is>
          <t>Wed</t>
        </is>
      </c>
      <c r="B79" s="6" t="inlineStr">
        <is>
          <t>8:30 AM</t>
        </is>
      </c>
      <c r="C79" s="12">
        <f>COUNTIF(Schedule!BQ3:BQ6,"●")+COUNTIF(Schedule!BQ3:BQ6,"R")</f>
        <v/>
      </c>
      <c r="D79" s="12">
        <f>WEEKDAY_STAFF</f>
        <v/>
      </c>
      <c r="E79" s="12">
        <f>IF(C79&lt;D79,"UNCOVERED","ok")</f>
        <v/>
      </c>
    </row>
    <row r="80">
      <c r="A80" s="6" t="inlineStr">
        <is>
          <t>Wed</t>
        </is>
      </c>
      <c r="B80" s="6" t="inlineStr">
        <is>
          <t>9:00 AM</t>
        </is>
      </c>
      <c r="C80" s="12">
        <f>COUNTIF(Schedule!BR3:BR6,"●")+COUNTIF(Schedule!BR3:BR6,"R")</f>
        <v/>
      </c>
      <c r="D80" s="12">
        <f>WEEKDAY_STAFF</f>
        <v/>
      </c>
      <c r="E80" s="12">
        <f>IF(C80&lt;D80,"UNCOVERED","ok")</f>
        <v/>
      </c>
    </row>
    <row r="81">
      <c r="A81" s="6" t="inlineStr">
        <is>
          <t>Wed</t>
        </is>
      </c>
      <c r="B81" s="6" t="inlineStr">
        <is>
          <t>9:30 AM</t>
        </is>
      </c>
      <c r="C81" s="12">
        <f>COUNTIF(Schedule!BS3:BS6,"●")+COUNTIF(Schedule!BS3:BS6,"R")</f>
        <v/>
      </c>
      <c r="D81" s="12">
        <f>WEEKDAY_STAFF</f>
        <v/>
      </c>
      <c r="E81" s="12">
        <f>IF(C81&lt;D81,"UNCOVERED","ok")</f>
        <v/>
      </c>
    </row>
    <row r="82">
      <c r="A82" s="6" t="inlineStr">
        <is>
          <t>Wed</t>
        </is>
      </c>
      <c r="B82" s="6" t="inlineStr">
        <is>
          <t>10:00 AM</t>
        </is>
      </c>
      <c r="C82" s="12">
        <f>COUNTIF(Schedule!BT3:BT6,"●")+COUNTIF(Schedule!BT3:BT6,"R")</f>
        <v/>
      </c>
      <c r="D82" s="12">
        <f>WEEKDAY_STAFF</f>
        <v/>
      </c>
      <c r="E82" s="12">
        <f>IF(C82&lt;D82,"UNCOVERED","ok")</f>
        <v/>
      </c>
    </row>
    <row r="83">
      <c r="A83" s="6" t="inlineStr">
        <is>
          <t>Wed</t>
        </is>
      </c>
      <c r="B83" s="6" t="inlineStr">
        <is>
          <t>10:30 AM</t>
        </is>
      </c>
      <c r="C83" s="12">
        <f>COUNTIF(Schedule!BU3:BU6,"●")+COUNTIF(Schedule!BU3:BU6,"R")</f>
        <v/>
      </c>
      <c r="D83" s="12">
        <f>WEEKDAY_STAFF</f>
        <v/>
      </c>
      <c r="E83" s="12">
        <f>IF(C83&lt;D83,"UNCOVERED","ok")</f>
        <v/>
      </c>
    </row>
    <row r="84">
      <c r="A84" s="6" t="inlineStr">
        <is>
          <t>Wed</t>
        </is>
      </c>
      <c r="B84" s="6" t="inlineStr">
        <is>
          <t>11:00 AM</t>
        </is>
      </c>
      <c r="C84" s="12">
        <f>COUNTIF(Schedule!BV3:BV6,"●")+COUNTIF(Schedule!BV3:BV6,"R")</f>
        <v/>
      </c>
      <c r="D84" s="12">
        <f>WEEKDAY_STAFF</f>
        <v/>
      </c>
      <c r="E84" s="12">
        <f>IF(C84&lt;D84,"UNCOVERED","ok")</f>
        <v/>
      </c>
    </row>
    <row r="85">
      <c r="A85" s="6" t="inlineStr">
        <is>
          <t>Wed</t>
        </is>
      </c>
      <c r="B85" s="6" t="inlineStr">
        <is>
          <t>11:30 AM</t>
        </is>
      </c>
      <c r="C85" s="12">
        <f>COUNTIF(Schedule!BW3:BW6,"●")+COUNTIF(Schedule!BW3:BW6,"R")</f>
        <v/>
      </c>
      <c r="D85" s="12">
        <f>WEEKDAY_STAFF</f>
        <v/>
      </c>
      <c r="E85" s="12">
        <f>IF(C85&lt;D85,"UNCOVERED","ok")</f>
        <v/>
      </c>
    </row>
    <row r="86">
      <c r="A86" s="6" t="inlineStr">
        <is>
          <t>Wed</t>
        </is>
      </c>
      <c r="B86" s="6" t="inlineStr">
        <is>
          <t>12:00 PM</t>
        </is>
      </c>
      <c r="C86" s="12">
        <f>COUNTIF(Schedule!BX3:BX6,"●")+COUNTIF(Schedule!BX3:BX6,"R")</f>
        <v/>
      </c>
      <c r="D86" s="12">
        <f>WEEKDAY_STAFF</f>
        <v/>
      </c>
      <c r="E86" s="12">
        <f>IF(C86&lt;D86,"UNCOVERED","ok")</f>
        <v/>
      </c>
    </row>
    <row r="87">
      <c r="A87" s="6" t="inlineStr">
        <is>
          <t>Wed</t>
        </is>
      </c>
      <c r="B87" s="6" t="inlineStr">
        <is>
          <t>12:30 PM</t>
        </is>
      </c>
      <c r="C87" s="12">
        <f>COUNTIF(Schedule!BY3:BY6,"●")+COUNTIF(Schedule!BY3:BY6,"R")</f>
        <v/>
      </c>
      <c r="D87" s="12">
        <f>WEEKDAY_STAFF</f>
        <v/>
      </c>
      <c r="E87" s="12">
        <f>IF(C87&lt;D87,"UNCOVERED","ok")</f>
        <v/>
      </c>
    </row>
    <row r="88">
      <c r="A88" s="6" t="inlineStr">
        <is>
          <t>Wed</t>
        </is>
      </c>
      <c r="B88" s="6" t="inlineStr">
        <is>
          <t>1:00 PM</t>
        </is>
      </c>
      <c r="C88" s="12">
        <f>COUNTIF(Schedule!BZ3:BZ6,"●")+COUNTIF(Schedule!BZ3:BZ6,"R")</f>
        <v/>
      </c>
      <c r="D88" s="12">
        <f>WEEKDAY_STAFF</f>
        <v/>
      </c>
      <c r="E88" s="12">
        <f>IF(C88&lt;D88,"UNCOVERED","ok")</f>
        <v/>
      </c>
    </row>
    <row r="89">
      <c r="A89" s="6" t="inlineStr">
        <is>
          <t>Wed</t>
        </is>
      </c>
      <c r="B89" s="6" t="inlineStr">
        <is>
          <t>1:30 PM</t>
        </is>
      </c>
      <c r="C89" s="12">
        <f>COUNTIF(Schedule!CA3:CA6,"●")+COUNTIF(Schedule!CA3:CA6,"R")</f>
        <v/>
      </c>
      <c r="D89" s="12">
        <f>WEEKDAY_STAFF</f>
        <v/>
      </c>
      <c r="E89" s="12">
        <f>IF(C89&lt;D89,"UNCOVERED","ok")</f>
        <v/>
      </c>
    </row>
    <row r="90">
      <c r="A90" s="6" t="inlineStr">
        <is>
          <t>Wed</t>
        </is>
      </c>
      <c r="B90" s="6" t="inlineStr">
        <is>
          <t>2:00 PM</t>
        </is>
      </c>
      <c r="C90" s="12">
        <f>COUNTIF(Schedule!CB3:CB6,"●")+COUNTIF(Schedule!CB3:CB6,"R")</f>
        <v/>
      </c>
      <c r="D90" s="12">
        <f>WEEKDAY_STAFF</f>
        <v/>
      </c>
      <c r="E90" s="12">
        <f>IF(C90&lt;D90,"UNCOVERED","ok")</f>
        <v/>
      </c>
    </row>
    <row r="91">
      <c r="A91" s="6" t="inlineStr">
        <is>
          <t>Wed</t>
        </is>
      </c>
      <c r="B91" s="6" t="inlineStr">
        <is>
          <t>2:30 PM</t>
        </is>
      </c>
      <c r="C91" s="12">
        <f>COUNTIF(Schedule!CC3:CC6,"●")+COUNTIF(Schedule!CC3:CC6,"R")</f>
        <v/>
      </c>
      <c r="D91" s="12">
        <f>WEEKDAY_STAFF</f>
        <v/>
      </c>
      <c r="E91" s="12">
        <f>IF(C91&lt;D91,"UNCOVERED","ok")</f>
        <v/>
      </c>
    </row>
    <row r="92">
      <c r="A92" s="6" t="inlineStr">
        <is>
          <t>Wed</t>
        </is>
      </c>
      <c r="B92" s="6" t="inlineStr">
        <is>
          <t>3:00 PM</t>
        </is>
      </c>
      <c r="C92" s="12">
        <f>COUNTIF(Schedule!CD3:CD6,"●")+COUNTIF(Schedule!CD3:CD6,"R")</f>
        <v/>
      </c>
      <c r="D92" s="12">
        <f>WEEKDAY_STAFF</f>
        <v/>
      </c>
      <c r="E92" s="12">
        <f>IF(C92&lt;D92,"UNCOVERED","ok")</f>
        <v/>
      </c>
    </row>
    <row r="93">
      <c r="A93" s="6" t="inlineStr">
        <is>
          <t>Wed</t>
        </is>
      </c>
      <c r="B93" s="6" t="inlineStr">
        <is>
          <t>3:30 PM</t>
        </is>
      </c>
      <c r="C93" s="12">
        <f>COUNTIF(Schedule!CE3:CE6,"●")+COUNTIF(Schedule!CE3:CE6,"R")</f>
        <v/>
      </c>
      <c r="D93" s="12">
        <f>WEEKDAY_STAFF</f>
        <v/>
      </c>
      <c r="E93" s="12">
        <f>IF(C93&lt;D93,"UNCOVERED","ok")</f>
        <v/>
      </c>
    </row>
    <row r="94">
      <c r="A94" s="6" t="inlineStr">
        <is>
          <t>Wed</t>
        </is>
      </c>
      <c r="B94" s="6" t="inlineStr">
        <is>
          <t>4:00 PM</t>
        </is>
      </c>
      <c r="C94" s="12">
        <f>COUNTIF(Schedule!CF3:CF6,"●")+COUNTIF(Schedule!CF3:CF6,"R")</f>
        <v/>
      </c>
      <c r="D94" s="12">
        <f>WEEKDAY_STAFF</f>
        <v/>
      </c>
      <c r="E94" s="12">
        <f>IF(C94&lt;D94,"UNCOVERED","ok")</f>
        <v/>
      </c>
    </row>
    <row r="95">
      <c r="A95" s="6" t="inlineStr">
        <is>
          <t>Wed</t>
        </is>
      </c>
      <c r="B95" s="6" t="inlineStr">
        <is>
          <t>4:30 PM</t>
        </is>
      </c>
      <c r="C95" s="12">
        <f>COUNTIF(Schedule!CG3:CG6,"●")+COUNTIF(Schedule!CG3:CG6,"R")</f>
        <v/>
      </c>
      <c r="D95" s="12">
        <f>WEEKDAY_STAFF</f>
        <v/>
      </c>
      <c r="E95" s="12">
        <f>IF(C95&lt;D95,"UNCOVERED","ok")</f>
        <v/>
      </c>
    </row>
    <row r="96">
      <c r="A96" s="6" t="inlineStr">
        <is>
          <t>Wed</t>
        </is>
      </c>
      <c r="B96" s="6" t="inlineStr">
        <is>
          <t>5:00 PM</t>
        </is>
      </c>
      <c r="C96" s="12">
        <f>COUNTIF(Schedule!CH3:CH6,"●")+COUNTIF(Schedule!CH3:CH6,"R")</f>
        <v/>
      </c>
      <c r="D96" s="12">
        <f>WEEKDAY_STAFF</f>
        <v/>
      </c>
      <c r="E96" s="12">
        <f>IF(C96&lt;D96,"UNCOVERED","ok")</f>
        <v/>
      </c>
    </row>
    <row r="97">
      <c r="A97" s="6" t="inlineStr">
        <is>
          <t>Wed</t>
        </is>
      </c>
      <c r="B97" s="6" t="inlineStr">
        <is>
          <t>5:30 PM</t>
        </is>
      </c>
      <c r="C97" s="12">
        <f>COUNTIF(Schedule!CI3:CI6,"●")+COUNTIF(Schedule!CI3:CI6,"R")</f>
        <v/>
      </c>
      <c r="D97" s="12">
        <f>WEEKDAY_STAFF</f>
        <v/>
      </c>
      <c r="E97" s="12">
        <f>IF(C97&lt;D97,"UNCOVERED","ok")</f>
        <v/>
      </c>
    </row>
    <row r="98">
      <c r="A98" s="6" t="inlineStr">
        <is>
          <t>Wed</t>
        </is>
      </c>
      <c r="B98" s="6" t="inlineStr">
        <is>
          <t>6:00 PM</t>
        </is>
      </c>
      <c r="C98" s="12">
        <f>COUNTIF(Schedule!CJ3:CJ6,"●")+COUNTIF(Schedule!CJ3:CJ6,"R")</f>
        <v/>
      </c>
      <c r="D98" s="12">
        <f>WEEKDAY_STAFF</f>
        <v/>
      </c>
      <c r="E98" s="12">
        <f>IF(C98&lt;D98,"UNCOVERED","ok")</f>
        <v/>
      </c>
    </row>
    <row r="99">
      <c r="A99" s="6" t="inlineStr">
        <is>
          <t>Wed</t>
        </is>
      </c>
      <c r="B99" s="6" t="inlineStr">
        <is>
          <t>6:30 PM</t>
        </is>
      </c>
      <c r="C99" s="12">
        <f>COUNTIF(Schedule!CK3:CK6,"●")+COUNTIF(Schedule!CK3:CK6,"R")</f>
        <v/>
      </c>
      <c r="D99" s="12">
        <f>WEEKDAY_STAFF</f>
        <v/>
      </c>
      <c r="E99" s="12">
        <f>IF(C99&lt;D99,"UNCOVERED","ok")</f>
        <v/>
      </c>
    </row>
    <row r="100">
      <c r="A100" s="6" t="inlineStr">
        <is>
          <t>Wed</t>
        </is>
      </c>
      <c r="B100" s="6" t="inlineStr">
        <is>
          <t>7:00 PM</t>
        </is>
      </c>
      <c r="C100" s="12">
        <f>COUNTIF(Schedule!CL3:CL6,"●")+COUNTIF(Schedule!CL3:CL6,"R")</f>
        <v/>
      </c>
      <c r="D100" s="12">
        <f>WEEKDAY_STAFF</f>
        <v/>
      </c>
      <c r="E100" s="12">
        <f>IF(C100&lt;D100,"UNCOVERED","ok")</f>
        <v/>
      </c>
    </row>
    <row r="101">
      <c r="A101" s="6" t="inlineStr">
        <is>
          <t>Wed</t>
        </is>
      </c>
      <c r="B101" s="6" t="inlineStr">
        <is>
          <t>7:30 PM</t>
        </is>
      </c>
      <c r="C101" s="12">
        <f>COUNTIF(Schedule!CM3:CM6,"●")+COUNTIF(Schedule!CM3:CM6,"R")</f>
        <v/>
      </c>
      <c r="D101" s="12">
        <f>WEEKDAY_STAFF</f>
        <v/>
      </c>
      <c r="E101" s="12">
        <f>IF(C101&lt;D101,"UNCOVERED","ok")</f>
        <v/>
      </c>
    </row>
    <row r="102">
      <c r="A102" s="6" t="inlineStr">
        <is>
          <t>Wed</t>
        </is>
      </c>
      <c r="B102" s="6" t="inlineStr">
        <is>
          <t>8:00 PM</t>
        </is>
      </c>
      <c r="C102" s="12">
        <f>COUNTIF(Schedule!CN3:CN6,"●")+COUNTIF(Schedule!CN3:CN6,"R")</f>
        <v/>
      </c>
      <c r="D102" s="12">
        <f>WEEKDAY_STAFF</f>
        <v/>
      </c>
      <c r="E102" s="12">
        <f>IF(C102&lt;D102,"UNCOVERED","ok")</f>
        <v/>
      </c>
    </row>
    <row r="103">
      <c r="A103" s="6" t="inlineStr">
        <is>
          <t>Wed</t>
        </is>
      </c>
      <c r="B103" s="6" t="inlineStr">
        <is>
          <t>8:30 PM</t>
        </is>
      </c>
      <c r="C103" s="12">
        <f>COUNTIF(Schedule!CO3:CO6,"●")+COUNTIF(Schedule!CO3:CO6,"R")</f>
        <v/>
      </c>
      <c r="D103" s="12">
        <f>WEEKDAY_STAFF</f>
        <v/>
      </c>
      <c r="E103" s="12">
        <f>IF(C103&lt;D103,"UNCOVERED","ok")</f>
        <v/>
      </c>
    </row>
    <row r="104">
      <c r="A104" s="6" t="inlineStr">
        <is>
          <t>Wed</t>
        </is>
      </c>
      <c r="B104" s="6" t="inlineStr">
        <is>
          <t>9:00 PM</t>
        </is>
      </c>
      <c r="C104" s="12">
        <f>COUNTIF(Schedule!CP3:CP6,"●")+COUNTIF(Schedule!CP3:CP6,"R")</f>
        <v/>
      </c>
      <c r="D104" s="12">
        <f>WEEKDAY_STAFF</f>
        <v/>
      </c>
      <c r="E104" s="12">
        <f>IF(C104&lt;D104,"UNCOVERED","ok")</f>
        <v/>
      </c>
    </row>
    <row r="105">
      <c r="A105" s="6" t="inlineStr">
        <is>
          <t>Wed</t>
        </is>
      </c>
      <c r="B105" s="6" t="inlineStr">
        <is>
          <t>9:30 PM</t>
        </is>
      </c>
      <c r="C105" s="12">
        <f>COUNTIF(Schedule!CQ3:CQ6,"●")+COUNTIF(Schedule!CQ3:CQ6,"R")</f>
        <v/>
      </c>
      <c r="D105" s="12">
        <f>WEEKDAY_STAFF</f>
        <v/>
      </c>
      <c r="E105" s="12">
        <f>IF(C105&lt;D105,"UNCOVERED","ok")</f>
        <v/>
      </c>
    </row>
    <row r="106">
      <c r="A106" s="6" t="inlineStr">
        <is>
          <t>Wed</t>
        </is>
      </c>
      <c r="B106" s="6" t="inlineStr">
        <is>
          <t>10:00 PM</t>
        </is>
      </c>
      <c r="C106" s="12">
        <f>COUNTIF(Schedule!CR3:CR6,"●")+COUNTIF(Schedule!CR3:CR6,"R")</f>
        <v/>
      </c>
      <c r="D106" s="12">
        <f>WEEKDAY_STAFF</f>
        <v/>
      </c>
      <c r="E106" s="12">
        <f>IF(C106&lt;D106,"UNCOVERED","ok")</f>
        <v/>
      </c>
    </row>
    <row r="107">
      <c r="A107" s="6" t="inlineStr">
        <is>
          <t>Wed</t>
        </is>
      </c>
      <c r="B107" s="6" t="inlineStr">
        <is>
          <t>10:30 PM</t>
        </is>
      </c>
      <c r="C107" s="12">
        <f>COUNTIF(Schedule!CS3:CS6,"●")+COUNTIF(Schedule!CS3:CS6,"R")</f>
        <v/>
      </c>
      <c r="D107" s="12">
        <f>WEEKDAY_STAFF</f>
        <v/>
      </c>
      <c r="E107" s="12">
        <f>IF(C107&lt;D107,"UNCOVERED","ok")</f>
        <v/>
      </c>
    </row>
    <row r="108">
      <c r="A108" s="6" t="inlineStr">
        <is>
          <t>Thu</t>
        </is>
      </c>
      <c r="B108" s="6" t="inlineStr">
        <is>
          <t>7:00 AM</t>
        </is>
      </c>
      <c r="C108" s="12">
        <f>COUNTIF(Schedule!CT3:CT6,"●")+COUNTIF(Schedule!CT3:CT6,"R")</f>
        <v/>
      </c>
      <c r="D108" s="12">
        <f>WEEKDAY_STAFF</f>
        <v/>
      </c>
      <c r="E108" s="12">
        <f>IF(C108&lt;D108,"UNCOVERED","ok")</f>
        <v/>
      </c>
    </row>
    <row r="109">
      <c r="A109" s="6" t="inlineStr">
        <is>
          <t>Thu</t>
        </is>
      </c>
      <c r="B109" s="6" t="inlineStr">
        <is>
          <t>7:30 AM</t>
        </is>
      </c>
      <c r="C109" s="12">
        <f>COUNTIF(Schedule!CU3:CU6,"●")+COUNTIF(Schedule!CU3:CU6,"R")</f>
        <v/>
      </c>
      <c r="D109" s="12">
        <f>WEEKDAY_STAFF</f>
        <v/>
      </c>
      <c r="E109" s="12">
        <f>IF(C109&lt;D109,"UNCOVERED","ok")</f>
        <v/>
      </c>
    </row>
    <row r="110">
      <c r="A110" s="6" t="inlineStr">
        <is>
          <t>Thu</t>
        </is>
      </c>
      <c r="B110" s="6" t="inlineStr">
        <is>
          <t>8:00 AM</t>
        </is>
      </c>
      <c r="C110" s="12">
        <f>COUNTIF(Schedule!CV3:CV6,"●")+COUNTIF(Schedule!CV3:CV6,"R")</f>
        <v/>
      </c>
      <c r="D110" s="12">
        <f>WEEKDAY_STAFF</f>
        <v/>
      </c>
      <c r="E110" s="12">
        <f>IF(C110&lt;D110,"UNCOVERED","ok")</f>
        <v/>
      </c>
    </row>
    <row r="111">
      <c r="A111" s="6" t="inlineStr">
        <is>
          <t>Thu</t>
        </is>
      </c>
      <c r="B111" s="6" t="inlineStr">
        <is>
          <t>8:30 AM</t>
        </is>
      </c>
      <c r="C111" s="12">
        <f>COUNTIF(Schedule!CW3:CW6,"●")+COUNTIF(Schedule!CW3:CW6,"R")</f>
        <v/>
      </c>
      <c r="D111" s="12">
        <f>WEEKDAY_STAFF</f>
        <v/>
      </c>
      <c r="E111" s="12">
        <f>IF(C111&lt;D111,"UNCOVERED","ok")</f>
        <v/>
      </c>
    </row>
    <row r="112">
      <c r="A112" s="6" t="inlineStr">
        <is>
          <t>Thu</t>
        </is>
      </c>
      <c r="B112" s="6" t="inlineStr">
        <is>
          <t>9:00 AM</t>
        </is>
      </c>
      <c r="C112" s="12">
        <f>COUNTIF(Schedule!CX3:CX6,"●")+COUNTIF(Schedule!CX3:CX6,"R")</f>
        <v/>
      </c>
      <c r="D112" s="12">
        <f>WEEKDAY_STAFF</f>
        <v/>
      </c>
      <c r="E112" s="12">
        <f>IF(C112&lt;D112,"UNCOVERED","ok")</f>
        <v/>
      </c>
    </row>
    <row r="113">
      <c r="A113" s="6" t="inlineStr">
        <is>
          <t>Thu</t>
        </is>
      </c>
      <c r="B113" s="6" t="inlineStr">
        <is>
          <t>9:30 AM</t>
        </is>
      </c>
      <c r="C113" s="12">
        <f>COUNTIF(Schedule!CY3:CY6,"●")+COUNTIF(Schedule!CY3:CY6,"R")</f>
        <v/>
      </c>
      <c r="D113" s="12">
        <f>WEEKDAY_STAFF</f>
        <v/>
      </c>
      <c r="E113" s="12">
        <f>IF(C113&lt;D113,"UNCOVERED","ok")</f>
        <v/>
      </c>
    </row>
    <row r="114">
      <c r="A114" s="6" t="inlineStr">
        <is>
          <t>Thu</t>
        </is>
      </c>
      <c r="B114" s="6" t="inlineStr">
        <is>
          <t>10:00 AM</t>
        </is>
      </c>
      <c r="C114" s="12">
        <f>COUNTIF(Schedule!CZ3:CZ6,"●")+COUNTIF(Schedule!CZ3:CZ6,"R")</f>
        <v/>
      </c>
      <c r="D114" s="12">
        <f>WEEKDAY_STAFF</f>
        <v/>
      </c>
      <c r="E114" s="12">
        <f>IF(C114&lt;D114,"UNCOVERED","ok")</f>
        <v/>
      </c>
    </row>
    <row r="115">
      <c r="A115" s="6" t="inlineStr">
        <is>
          <t>Thu</t>
        </is>
      </c>
      <c r="B115" s="6" t="inlineStr">
        <is>
          <t>10:30 AM</t>
        </is>
      </c>
      <c r="C115" s="12">
        <f>COUNTIF(Schedule!DA3:DA6,"●")+COUNTIF(Schedule!DA3:DA6,"R")</f>
        <v/>
      </c>
      <c r="D115" s="12">
        <f>WEEKDAY_STAFF</f>
        <v/>
      </c>
      <c r="E115" s="12">
        <f>IF(C115&lt;D115,"UNCOVERED","ok")</f>
        <v/>
      </c>
    </row>
    <row r="116">
      <c r="A116" s="6" t="inlineStr">
        <is>
          <t>Thu</t>
        </is>
      </c>
      <c r="B116" s="6" t="inlineStr">
        <is>
          <t>11:00 AM</t>
        </is>
      </c>
      <c r="C116" s="12">
        <f>COUNTIF(Schedule!DB3:DB6,"●")+COUNTIF(Schedule!DB3:DB6,"R")</f>
        <v/>
      </c>
      <c r="D116" s="12">
        <f>WEEKDAY_STAFF</f>
        <v/>
      </c>
      <c r="E116" s="12">
        <f>IF(C116&lt;D116,"UNCOVERED","ok")</f>
        <v/>
      </c>
    </row>
    <row r="117">
      <c r="A117" s="6" t="inlineStr">
        <is>
          <t>Thu</t>
        </is>
      </c>
      <c r="B117" s="6" t="inlineStr">
        <is>
          <t>11:30 AM</t>
        </is>
      </c>
      <c r="C117" s="12">
        <f>COUNTIF(Schedule!DC3:DC6,"●")+COUNTIF(Schedule!DC3:DC6,"R")</f>
        <v/>
      </c>
      <c r="D117" s="12">
        <f>WEEKDAY_STAFF</f>
        <v/>
      </c>
      <c r="E117" s="12">
        <f>IF(C117&lt;D117,"UNCOVERED","ok")</f>
        <v/>
      </c>
    </row>
    <row r="118">
      <c r="A118" s="6" t="inlineStr">
        <is>
          <t>Thu</t>
        </is>
      </c>
      <c r="B118" s="6" t="inlineStr">
        <is>
          <t>12:00 PM</t>
        </is>
      </c>
      <c r="C118" s="12">
        <f>COUNTIF(Schedule!DD3:DD6,"●")+COUNTIF(Schedule!DD3:DD6,"R")</f>
        <v/>
      </c>
      <c r="D118" s="12">
        <f>WEEKDAY_STAFF</f>
        <v/>
      </c>
      <c r="E118" s="12">
        <f>IF(C118&lt;D118,"UNCOVERED","ok")</f>
        <v/>
      </c>
    </row>
    <row r="119">
      <c r="A119" s="6" t="inlineStr">
        <is>
          <t>Thu</t>
        </is>
      </c>
      <c r="B119" s="6" t="inlineStr">
        <is>
          <t>12:30 PM</t>
        </is>
      </c>
      <c r="C119" s="12">
        <f>COUNTIF(Schedule!DE3:DE6,"●")+COUNTIF(Schedule!DE3:DE6,"R")</f>
        <v/>
      </c>
      <c r="D119" s="12">
        <f>WEEKDAY_STAFF</f>
        <v/>
      </c>
      <c r="E119" s="12">
        <f>IF(C119&lt;D119,"UNCOVERED","ok")</f>
        <v/>
      </c>
    </row>
    <row r="120">
      <c r="A120" s="6" t="inlineStr">
        <is>
          <t>Thu</t>
        </is>
      </c>
      <c r="B120" s="6" t="inlineStr">
        <is>
          <t>1:00 PM</t>
        </is>
      </c>
      <c r="C120" s="12">
        <f>COUNTIF(Schedule!DF3:DF6,"●")+COUNTIF(Schedule!DF3:DF6,"R")</f>
        <v/>
      </c>
      <c r="D120" s="12">
        <f>WEEKDAY_STAFF</f>
        <v/>
      </c>
      <c r="E120" s="12">
        <f>IF(C120&lt;D120,"UNCOVERED","ok")</f>
        <v/>
      </c>
    </row>
    <row r="121">
      <c r="A121" s="6" t="inlineStr">
        <is>
          <t>Thu</t>
        </is>
      </c>
      <c r="B121" s="6" t="inlineStr">
        <is>
          <t>1:30 PM</t>
        </is>
      </c>
      <c r="C121" s="12">
        <f>COUNTIF(Schedule!DG3:DG6,"●")+COUNTIF(Schedule!DG3:DG6,"R")</f>
        <v/>
      </c>
      <c r="D121" s="12">
        <f>WEEKDAY_STAFF</f>
        <v/>
      </c>
      <c r="E121" s="12">
        <f>IF(C121&lt;D121,"UNCOVERED","ok")</f>
        <v/>
      </c>
    </row>
    <row r="122">
      <c r="A122" s="6" t="inlineStr">
        <is>
          <t>Thu</t>
        </is>
      </c>
      <c r="B122" s="6" t="inlineStr">
        <is>
          <t>2:00 PM</t>
        </is>
      </c>
      <c r="C122" s="12">
        <f>COUNTIF(Schedule!DH3:DH6,"●")+COUNTIF(Schedule!DH3:DH6,"R")</f>
        <v/>
      </c>
      <c r="D122" s="12">
        <f>WEEKDAY_STAFF</f>
        <v/>
      </c>
      <c r="E122" s="12">
        <f>IF(C122&lt;D122,"UNCOVERED","ok")</f>
        <v/>
      </c>
    </row>
    <row r="123">
      <c r="A123" s="6" t="inlineStr">
        <is>
          <t>Thu</t>
        </is>
      </c>
      <c r="B123" s="6" t="inlineStr">
        <is>
          <t>2:30 PM</t>
        </is>
      </c>
      <c r="C123" s="12">
        <f>COUNTIF(Schedule!DI3:DI6,"●")+COUNTIF(Schedule!DI3:DI6,"R")</f>
        <v/>
      </c>
      <c r="D123" s="12">
        <f>WEEKDAY_STAFF</f>
        <v/>
      </c>
      <c r="E123" s="12">
        <f>IF(C123&lt;D123,"UNCOVERED","ok")</f>
        <v/>
      </c>
    </row>
    <row r="124">
      <c r="A124" s="6" t="inlineStr">
        <is>
          <t>Thu</t>
        </is>
      </c>
      <c r="B124" s="6" t="inlineStr">
        <is>
          <t>3:00 PM</t>
        </is>
      </c>
      <c r="C124" s="12">
        <f>COUNTIF(Schedule!DJ3:DJ6,"●")+COUNTIF(Schedule!DJ3:DJ6,"R")</f>
        <v/>
      </c>
      <c r="D124" s="12">
        <f>WEEKDAY_STAFF</f>
        <v/>
      </c>
      <c r="E124" s="12">
        <f>IF(C124&lt;D124,"UNCOVERED","ok")</f>
        <v/>
      </c>
    </row>
    <row r="125">
      <c r="A125" s="6" t="inlineStr">
        <is>
          <t>Thu</t>
        </is>
      </c>
      <c r="B125" s="6" t="inlineStr">
        <is>
          <t>3:30 PM</t>
        </is>
      </c>
      <c r="C125" s="12">
        <f>COUNTIF(Schedule!DK3:DK6,"●")+COUNTIF(Schedule!DK3:DK6,"R")</f>
        <v/>
      </c>
      <c r="D125" s="12">
        <f>WEEKDAY_STAFF</f>
        <v/>
      </c>
      <c r="E125" s="12">
        <f>IF(C125&lt;D125,"UNCOVERED","ok")</f>
        <v/>
      </c>
    </row>
    <row r="126">
      <c r="A126" s="6" t="inlineStr">
        <is>
          <t>Thu</t>
        </is>
      </c>
      <c r="B126" s="6" t="inlineStr">
        <is>
          <t>4:00 PM</t>
        </is>
      </c>
      <c r="C126" s="12">
        <f>COUNTIF(Schedule!DL3:DL6,"●")+COUNTIF(Schedule!DL3:DL6,"R")</f>
        <v/>
      </c>
      <c r="D126" s="12">
        <f>WEEKDAY_STAFF</f>
        <v/>
      </c>
      <c r="E126" s="12">
        <f>IF(C126&lt;D126,"UNCOVERED","ok")</f>
        <v/>
      </c>
    </row>
    <row r="127">
      <c r="A127" s="6" t="inlineStr">
        <is>
          <t>Thu</t>
        </is>
      </c>
      <c r="B127" s="6" t="inlineStr">
        <is>
          <t>4:30 PM</t>
        </is>
      </c>
      <c r="C127" s="12">
        <f>COUNTIF(Schedule!DM3:DM6,"●")+COUNTIF(Schedule!DM3:DM6,"R")</f>
        <v/>
      </c>
      <c r="D127" s="12">
        <f>WEEKDAY_STAFF</f>
        <v/>
      </c>
      <c r="E127" s="12">
        <f>IF(C127&lt;D127,"UNCOVERED","ok")</f>
        <v/>
      </c>
    </row>
    <row r="128">
      <c r="A128" s="6" t="inlineStr">
        <is>
          <t>Thu</t>
        </is>
      </c>
      <c r="B128" s="6" t="inlineStr">
        <is>
          <t>5:00 PM</t>
        </is>
      </c>
      <c r="C128" s="12">
        <f>COUNTIF(Schedule!DN3:DN6,"●")+COUNTIF(Schedule!DN3:DN6,"R")</f>
        <v/>
      </c>
      <c r="D128" s="12">
        <f>WEEKDAY_STAFF</f>
        <v/>
      </c>
      <c r="E128" s="12">
        <f>IF(C128&lt;D128,"UNCOVERED","ok")</f>
        <v/>
      </c>
    </row>
    <row r="129">
      <c r="A129" s="6" t="inlineStr">
        <is>
          <t>Thu</t>
        </is>
      </c>
      <c r="B129" s="6" t="inlineStr">
        <is>
          <t>5:30 PM</t>
        </is>
      </c>
      <c r="C129" s="12">
        <f>COUNTIF(Schedule!DO3:DO6,"●")+COUNTIF(Schedule!DO3:DO6,"R")</f>
        <v/>
      </c>
      <c r="D129" s="12">
        <f>WEEKDAY_STAFF</f>
        <v/>
      </c>
      <c r="E129" s="12">
        <f>IF(C129&lt;D129,"UNCOVERED","ok")</f>
        <v/>
      </c>
    </row>
    <row r="130">
      <c r="A130" s="6" t="inlineStr">
        <is>
          <t>Thu</t>
        </is>
      </c>
      <c r="B130" s="6" t="inlineStr">
        <is>
          <t>6:00 PM</t>
        </is>
      </c>
      <c r="C130" s="12">
        <f>COUNTIF(Schedule!DP3:DP6,"●")+COUNTIF(Schedule!DP3:DP6,"R")</f>
        <v/>
      </c>
      <c r="D130" s="12">
        <f>WEEKDAY_STAFF</f>
        <v/>
      </c>
      <c r="E130" s="12">
        <f>IF(C130&lt;D130,"UNCOVERED","ok")</f>
        <v/>
      </c>
    </row>
    <row r="131">
      <c r="A131" s="6" t="inlineStr">
        <is>
          <t>Thu</t>
        </is>
      </c>
      <c r="B131" s="6" t="inlineStr">
        <is>
          <t>6:30 PM</t>
        </is>
      </c>
      <c r="C131" s="12">
        <f>COUNTIF(Schedule!DQ3:DQ6,"●")+COUNTIF(Schedule!DQ3:DQ6,"R")</f>
        <v/>
      </c>
      <c r="D131" s="12">
        <f>WEEKDAY_STAFF</f>
        <v/>
      </c>
      <c r="E131" s="12">
        <f>IF(C131&lt;D131,"UNCOVERED","ok")</f>
        <v/>
      </c>
    </row>
    <row r="132">
      <c r="A132" s="6" t="inlineStr">
        <is>
          <t>Thu</t>
        </is>
      </c>
      <c r="B132" s="6" t="inlineStr">
        <is>
          <t>7:00 PM</t>
        </is>
      </c>
      <c r="C132" s="12">
        <f>COUNTIF(Schedule!DR3:DR6,"●")+COUNTIF(Schedule!DR3:DR6,"R")</f>
        <v/>
      </c>
      <c r="D132" s="12">
        <f>WEEKDAY_STAFF</f>
        <v/>
      </c>
      <c r="E132" s="12">
        <f>IF(C132&lt;D132,"UNCOVERED","ok")</f>
        <v/>
      </c>
    </row>
    <row r="133">
      <c r="A133" s="6" t="inlineStr">
        <is>
          <t>Thu</t>
        </is>
      </c>
      <c r="B133" s="6" t="inlineStr">
        <is>
          <t>7:30 PM</t>
        </is>
      </c>
      <c r="C133" s="12">
        <f>COUNTIF(Schedule!DS3:DS6,"●")+COUNTIF(Schedule!DS3:DS6,"R")</f>
        <v/>
      </c>
      <c r="D133" s="12">
        <f>WEEKDAY_STAFF</f>
        <v/>
      </c>
      <c r="E133" s="12">
        <f>IF(C133&lt;D133,"UNCOVERED","ok")</f>
        <v/>
      </c>
    </row>
    <row r="134">
      <c r="A134" s="6" t="inlineStr">
        <is>
          <t>Thu</t>
        </is>
      </c>
      <c r="B134" s="6" t="inlineStr">
        <is>
          <t>8:00 PM</t>
        </is>
      </c>
      <c r="C134" s="12">
        <f>COUNTIF(Schedule!DT3:DT6,"●")+COUNTIF(Schedule!DT3:DT6,"R")</f>
        <v/>
      </c>
      <c r="D134" s="12">
        <f>WEEKDAY_STAFF</f>
        <v/>
      </c>
      <c r="E134" s="12">
        <f>IF(C134&lt;D134,"UNCOVERED","ok")</f>
        <v/>
      </c>
    </row>
    <row r="135">
      <c r="A135" s="6" t="inlineStr">
        <is>
          <t>Thu</t>
        </is>
      </c>
      <c r="B135" s="6" t="inlineStr">
        <is>
          <t>8:30 PM</t>
        </is>
      </c>
      <c r="C135" s="12">
        <f>COUNTIF(Schedule!DU3:DU6,"●")+COUNTIF(Schedule!DU3:DU6,"R")</f>
        <v/>
      </c>
      <c r="D135" s="12">
        <f>WEEKDAY_STAFF</f>
        <v/>
      </c>
      <c r="E135" s="12">
        <f>IF(C135&lt;D135,"UNCOVERED","ok")</f>
        <v/>
      </c>
    </row>
    <row r="136">
      <c r="A136" s="6" t="inlineStr">
        <is>
          <t>Thu</t>
        </is>
      </c>
      <c r="B136" s="6" t="inlineStr">
        <is>
          <t>9:00 PM</t>
        </is>
      </c>
      <c r="C136" s="12">
        <f>COUNTIF(Schedule!DV3:DV6,"●")+COUNTIF(Schedule!DV3:DV6,"R")</f>
        <v/>
      </c>
      <c r="D136" s="12">
        <f>WEEKDAY_STAFF</f>
        <v/>
      </c>
      <c r="E136" s="12">
        <f>IF(C136&lt;D136,"UNCOVERED","ok")</f>
        <v/>
      </c>
    </row>
    <row r="137">
      <c r="A137" s="6" t="inlineStr">
        <is>
          <t>Thu</t>
        </is>
      </c>
      <c r="B137" s="6" t="inlineStr">
        <is>
          <t>9:30 PM</t>
        </is>
      </c>
      <c r="C137" s="12">
        <f>COUNTIF(Schedule!DW3:DW6,"●")+COUNTIF(Schedule!DW3:DW6,"R")</f>
        <v/>
      </c>
      <c r="D137" s="12">
        <f>WEEKDAY_STAFF</f>
        <v/>
      </c>
      <c r="E137" s="12">
        <f>IF(C137&lt;D137,"UNCOVERED","ok")</f>
        <v/>
      </c>
    </row>
    <row r="138">
      <c r="A138" s="6" t="inlineStr">
        <is>
          <t>Thu</t>
        </is>
      </c>
      <c r="B138" s="6" t="inlineStr">
        <is>
          <t>10:00 PM</t>
        </is>
      </c>
      <c r="C138" s="12">
        <f>COUNTIF(Schedule!DX3:DX6,"●")+COUNTIF(Schedule!DX3:DX6,"R")</f>
        <v/>
      </c>
      <c r="D138" s="12">
        <f>WEEKDAY_STAFF</f>
        <v/>
      </c>
      <c r="E138" s="12">
        <f>IF(C138&lt;D138,"UNCOVERED","ok")</f>
        <v/>
      </c>
    </row>
    <row r="139">
      <c r="A139" s="6" t="inlineStr">
        <is>
          <t>Thu</t>
        </is>
      </c>
      <c r="B139" s="6" t="inlineStr">
        <is>
          <t>10:30 PM</t>
        </is>
      </c>
      <c r="C139" s="12">
        <f>COUNTIF(Schedule!DY3:DY6,"●")+COUNTIF(Schedule!DY3:DY6,"R")</f>
        <v/>
      </c>
      <c r="D139" s="12">
        <f>WEEKDAY_STAFF</f>
        <v/>
      </c>
      <c r="E139" s="12">
        <f>IF(C139&lt;D139,"UNCOVERED","ok")</f>
        <v/>
      </c>
    </row>
    <row r="140">
      <c r="A140" s="6" t="inlineStr">
        <is>
          <t>Fri</t>
        </is>
      </c>
      <c r="B140" s="6" t="inlineStr">
        <is>
          <t>7:00 AM</t>
        </is>
      </c>
      <c r="C140" s="12">
        <f>COUNTIF(Schedule!DZ3:DZ6,"●")+COUNTIF(Schedule!DZ3:DZ6,"R")</f>
        <v/>
      </c>
      <c r="D140" s="12">
        <f>WEEKDAY_STAFF</f>
        <v/>
      </c>
      <c r="E140" s="12">
        <f>IF(C140&lt;D140,"UNCOVERED","ok")</f>
        <v/>
      </c>
    </row>
    <row r="141">
      <c r="A141" s="6" t="inlineStr">
        <is>
          <t>Fri</t>
        </is>
      </c>
      <c r="B141" s="6" t="inlineStr">
        <is>
          <t>7:30 AM</t>
        </is>
      </c>
      <c r="C141" s="12">
        <f>COUNTIF(Schedule!EA3:EA6,"●")+COUNTIF(Schedule!EA3:EA6,"R")</f>
        <v/>
      </c>
      <c r="D141" s="12">
        <f>WEEKDAY_STAFF</f>
        <v/>
      </c>
      <c r="E141" s="12">
        <f>IF(C141&lt;D141,"UNCOVERED","ok")</f>
        <v/>
      </c>
    </row>
    <row r="142">
      <c r="A142" s="6" t="inlineStr">
        <is>
          <t>Fri</t>
        </is>
      </c>
      <c r="B142" s="6" t="inlineStr">
        <is>
          <t>8:00 AM</t>
        </is>
      </c>
      <c r="C142" s="12">
        <f>COUNTIF(Schedule!EB3:EB6,"●")+COUNTIF(Schedule!EB3:EB6,"R")</f>
        <v/>
      </c>
      <c r="D142" s="12">
        <f>WEEKDAY_STAFF</f>
        <v/>
      </c>
      <c r="E142" s="12">
        <f>IF(C142&lt;D142,"UNCOVERED","ok")</f>
        <v/>
      </c>
    </row>
    <row r="143">
      <c r="A143" s="6" t="inlineStr">
        <is>
          <t>Fri</t>
        </is>
      </c>
      <c r="B143" s="6" t="inlineStr">
        <is>
          <t>8:30 AM</t>
        </is>
      </c>
      <c r="C143" s="12">
        <f>COUNTIF(Schedule!EC3:EC6,"●")+COUNTIF(Schedule!EC3:EC6,"R")</f>
        <v/>
      </c>
      <c r="D143" s="12">
        <f>WEEKDAY_STAFF</f>
        <v/>
      </c>
      <c r="E143" s="12">
        <f>IF(C143&lt;D143,"UNCOVERED","ok")</f>
        <v/>
      </c>
    </row>
    <row r="144">
      <c r="A144" s="6" t="inlineStr">
        <is>
          <t>Fri</t>
        </is>
      </c>
      <c r="B144" s="6" t="inlineStr">
        <is>
          <t>9:00 AM</t>
        </is>
      </c>
      <c r="C144" s="12">
        <f>COUNTIF(Schedule!ED3:ED6,"●")+COUNTIF(Schedule!ED3:ED6,"R")</f>
        <v/>
      </c>
      <c r="D144" s="12">
        <f>WEEKDAY_STAFF</f>
        <v/>
      </c>
      <c r="E144" s="12">
        <f>IF(C144&lt;D144,"UNCOVERED","ok")</f>
        <v/>
      </c>
    </row>
    <row r="145">
      <c r="A145" s="6" t="inlineStr">
        <is>
          <t>Fri</t>
        </is>
      </c>
      <c r="B145" s="6" t="inlineStr">
        <is>
          <t>9:30 AM</t>
        </is>
      </c>
      <c r="C145" s="12">
        <f>COUNTIF(Schedule!EE3:EE6,"●")+COUNTIF(Schedule!EE3:EE6,"R")</f>
        <v/>
      </c>
      <c r="D145" s="12">
        <f>WEEKDAY_STAFF</f>
        <v/>
      </c>
      <c r="E145" s="12">
        <f>IF(C145&lt;D145,"UNCOVERED","ok")</f>
        <v/>
      </c>
    </row>
    <row r="146">
      <c r="A146" s="6" t="inlineStr">
        <is>
          <t>Fri</t>
        </is>
      </c>
      <c r="B146" s="6" t="inlineStr">
        <is>
          <t>10:00 AM</t>
        </is>
      </c>
      <c r="C146" s="12">
        <f>COUNTIF(Schedule!EF3:EF6,"●")+COUNTIF(Schedule!EF3:EF6,"R")</f>
        <v/>
      </c>
      <c r="D146" s="12">
        <f>WEEKDAY_STAFF</f>
        <v/>
      </c>
      <c r="E146" s="12">
        <f>IF(C146&lt;D146,"UNCOVERED","ok")</f>
        <v/>
      </c>
    </row>
    <row r="147">
      <c r="A147" s="6" t="inlineStr">
        <is>
          <t>Fri</t>
        </is>
      </c>
      <c r="B147" s="6" t="inlineStr">
        <is>
          <t>10:30 AM</t>
        </is>
      </c>
      <c r="C147" s="12">
        <f>COUNTIF(Schedule!EG3:EG6,"●")+COUNTIF(Schedule!EG3:EG6,"R")</f>
        <v/>
      </c>
      <c r="D147" s="12">
        <f>WEEKDAY_STAFF</f>
        <v/>
      </c>
      <c r="E147" s="12">
        <f>IF(C147&lt;D147,"UNCOVERED","ok")</f>
        <v/>
      </c>
    </row>
    <row r="148">
      <c r="A148" s="6" t="inlineStr">
        <is>
          <t>Fri</t>
        </is>
      </c>
      <c r="B148" s="6" t="inlineStr">
        <is>
          <t>11:00 AM</t>
        </is>
      </c>
      <c r="C148" s="12">
        <f>COUNTIF(Schedule!EH3:EH6,"●")+COUNTIF(Schedule!EH3:EH6,"R")</f>
        <v/>
      </c>
      <c r="D148" s="12">
        <f>WEEKDAY_STAFF</f>
        <v/>
      </c>
      <c r="E148" s="12">
        <f>IF(C148&lt;D148,"UNCOVERED","ok")</f>
        <v/>
      </c>
    </row>
    <row r="149">
      <c r="A149" s="6" t="inlineStr">
        <is>
          <t>Fri</t>
        </is>
      </c>
      <c r="B149" s="6" t="inlineStr">
        <is>
          <t>11:30 AM</t>
        </is>
      </c>
      <c r="C149" s="12">
        <f>COUNTIF(Schedule!EI3:EI6,"●")+COUNTIF(Schedule!EI3:EI6,"R")</f>
        <v/>
      </c>
      <c r="D149" s="12">
        <f>WEEKDAY_STAFF</f>
        <v/>
      </c>
      <c r="E149" s="12">
        <f>IF(C149&lt;D149,"UNCOVERED","ok")</f>
        <v/>
      </c>
    </row>
    <row r="150">
      <c r="A150" s="6" t="inlineStr">
        <is>
          <t>Fri</t>
        </is>
      </c>
      <c r="B150" s="6" t="inlineStr">
        <is>
          <t>12:00 PM</t>
        </is>
      </c>
      <c r="C150" s="12">
        <f>COUNTIF(Schedule!EJ3:EJ6,"●")+COUNTIF(Schedule!EJ3:EJ6,"R")</f>
        <v/>
      </c>
      <c r="D150" s="12">
        <f>WEEKDAY_STAFF</f>
        <v/>
      </c>
      <c r="E150" s="12">
        <f>IF(C150&lt;D150,"UNCOVERED","ok")</f>
        <v/>
      </c>
    </row>
    <row r="151">
      <c r="A151" s="6" t="inlineStr">
        <is>
          <t>Fri</t>
        </is>
      </c>
      <c r="B151" s="6" t="inlineStr">
        <is>
          <t>12:30 PM</t>
        </is>
      </c>
      <c r="C151" s="12">
        <f>COUNTIF(Schedule!EK3:EK6,"●")+COUNTIF(Schedule!EK3:EK6,"R")</f>
        <v/>
      </c>
      <c r="D151" s="12">
        <f>WEEKDAY_STAFF</f>
        <v/>
      </c>
      <c r="E151" s="12">
        <f>IF(C151&lt;D151,"UNCOVERED","ok")</f>
        <v/>
      </c>
    </row>
    <row r="152">
      <c r="A152" s="6" t="inlineStr">
        <is>
          <t>Fri</t>
        </is>
      </c>
      <c r="B152" s="6" t="inlineStr">
        <is>
          <t>1:00 PM</t>
        </is>
      </c>
      <c r="C152" s="12">
        <f>COUNTIF(Schedule!EL3:EL6,"●")+COUNTIF(Schedule!EL3:EL6,"R")</f>
        <v/>
      </c>
      <c r="D152" s="12">
        <f>WEEKDAY_STAFF</f>
        <v/>
      </c>
      <c r="E152" s="12">
        <f>IF(C152&lt;D152,"UNCOVERED","ok")</f>
        <v/>
      </c>
    </row>
    <row r="153">
      <c r="A153" s="6" t="inlineStr">
        <is>
          <t>Fri</t>
        </is>
      </c>
      <c r="B153" s="6" t="inlineStr">
        <is>
          <t>1:30 PM</t>
        </is>
      </c>
      <c r="C153" s="12">
        <f>COUNTIF(Schedule!EM3:EM6,"●")+COUNTIF(Schedule!EM3:EM6,"R")</f>
        <v/>
      </c>
      <c r="D153" s="12">
        <f>WEEKDAY_STAFF</f>
        <v/>
      </c>
      <c r="E153" s="12">
        <f>IF(C153&lt;D153,"UNCOVERED","ok")</f>
        <v/>
      </c>
    </row>
    <row r="154">
      <c r="A154" s="6" t="inlineStr">
        <is>
          <t>Fri</t>
        </is>
      </c>
      <c r="B154" s="6" t="inlineStr">
        <is>
          <t>2:00 PM</t>
        </is>
      </c>
      <c r="C154" s="12">
        <f>COUNTIF(Schedule!EN3:EN6,"●")+COUNTIF(Schedule!EN3:EN6,"R")</f>
        <v/>
      </c>
      <c r="D154" s="12">
        <f>WEEKDAY_STAFF</f>
        <v/>
      </c>
      <c r="E154" s="12">
        <f>IF(C154&lt;D154,"UNCOVERED","ok")</f>
        <v/>
      </c>
    </row>
    <row r="155">
      <c r="A155" s="6" t="inlineStr">
        <is>
          <t>Fri</t>
        </is>
      </c>
      <c r="B155" s="6" t="inlineStr">
        <is>
          <t>2:30 PM</t>
        </is>
      </c>
      <c r="C155" s="12">
        <f>COUNTIF(Schedule!EO3:EO6,"●")+COUNTIF(Schedule!EO3:EO6,"R")</f>
        <v/>
      </c>
      <c r="D155" s="12">
        <f>WEEKDAY_STAFF</f>
        <v/>
      </c>
      <c r="E155" s="12">
        <f>IF(C155&lt;D155,"UNCOVERED","ok")</f>
        <v/>
      </c>
    </row>
    <row r="156">
      <c r="A156" s="6" t="inlineStr">
        <is>
          <t>Fri</t>
        </is>
      </c>
      <c r="B156" s="6" t="inlineStr">
        <is>
          <t>3:00 PM</t>
        </is>
      </c>
      <c r="C156" s="12">
        <f>COUNTIF(Schedule!EP3:EP6,"●")+COUNTIF(Schedule!EP3:EP6,"R")</f>
        <v/>
      </c>
      <c r="D156" s="12">
        <f>WEEKDAY_STAFF</f>
        <v/>
      </c>
      <c r="E156" s="12">
        <f>IF(C156&lt;D156,"UNCOVERED","ok")</f>
        <v/>
      </c>
    </row>
    <row r="157">
      <c r="A157" s="6" t="inlineStr">
        <is>
          <t>Fri</t>
        </is>
      </c>
      <c r="B157" s="6" t="inlineStr">
        <is>
          <t>3:30 PM</t>
        </is>
      </c>
      <c r="C157" s="12">
        <f>COUNTIF(Schedule!EQ3:EQ6,"●")+COUNTIF(Schedule!EQ3:EQ6,"R")</f>
        <v/>
      </c>
      <c r="D157" s="12">
        <f>WEEKDAY_STAFF</f>
        <v/>
      </c>
      <c r="E157" s="12">
        <f>IF(C157&lt;D157,"UNCOVERED","ok")</f>
        <v/>
      </c>
    </row>
    <row r="158">
      <c r="A158" s="6" t="inlineStr">
        <is>
          <t>Fri</t>
        </is>
      </c>
      <c r="B158" s="6" t="inlineStr">
        <is>
          <t>4:00 PM</t>
        </is>
      </c>
      <c r="C158" s="12">
        <f>COUNTIF(Schedule!ER3:ER6,"●")+COUNTIF(Schedule!ER3:ER6,"R")</f>
        <v/>
      </c>
      <c r="D158" s="12">
        <f>WEEKDAY_STAFF</f>
        <v/>
      </c>
      <c r="E158" s="12">
        <f>IF(C158&lt;D158,"UNCOVERED","ok")</f>
        <v/>
      </c>
    </row>
    <row r="159">
      <c r="A159" s="6" t="inlineStr">
        <is>
          <t>Fri</t>
        </is>
      </c>
      <c r="B159" s="6" t="inlineStr">
        <is>
          <t>4:30 PM</t>
        </is>
      </c>
      <c r="C159" s="12">
        <f>COUNTIF(Schedule!ES3:ES6,"●")+COUNTIF(Schedule!ES3:ES6,"R")</f>
        <v/>
      </c>
      <c r="D159" s="12">
        <f>WEEKDAY_STAFF</f>
        <v/>
      </c>
      <c r="E159" s="12">
        <f>IF(C159&lt;D159,"UNCOVERED","ok")</f>
        <v/>
      </c>
    </row>
    <row r="160">
      <c r="A160" s="6" t="inlineStr">
        <is>
          <t>Fri</t>
        </is>
      </c>
      <c r="B160" s="6" t="inlineStr">
        <is>
          <t>5:00 PM</t>
        </is>
      </c>
      <c r="C160" s="12">
        <f>COUNTIF(Schedule!ET3:ET6,"●")+COUNTIF(Schedule!ET3:ET6,"R")</f>
        <v/>
      </c>
      <c r="D160" s="12">
        <f>WEEKDAY_STAFF</f>
        <v/>
      </c>
      <c r="E160" s="12">
        <f>IF(C160&lt;D160,"UNCOVERED","ok")</f>
        <v/>
      </c>
    </row>
    <row r="161">
      <c r="A161" s="6" t="inlineStr">
        <is>
          <t>Fri</t>
        </is>
      </c>
      <c r="B161" s="6" t="inlineStr">
        <is>
          <t>5:30 PM</t>
        </is>
      </c>
      <c r="C161" s="12">
        <f>COUNTIF(Schedule!EU3:EU6,"●")+COUNTIF(Schedule!EU3:EU6,"R")</f>
        <v/>
      </c>
      <c r="D161" s="12">
        <f>WEEKDAY_STAFF</f>
        <v/>
      </c>
      <c r="E161" s="12">
        <f>IF(C161&lt;D161,"UNCOVERED","ok")</f>
        <v/>
      </c>
    </row>
    <row r="162">
      <c r="A162" s="6" t="inlineStr">
        <is>
          <t>Fri</t>
        </is>
      </c>
      <c r="B162" s="6" t="inlineStr">
        <is>
          <t>6:00 PM</t>
        </is>
      </c>
      <c r="C162" s="12">
        <f>COUNTIF(Schedule!EV3:EV6,"●")+COUNTIF(Schedule!EV3:EV6,"R")</f>
        <v/>
      </c>
      <c r="D162" s="12">
        <f>WEEKDAY_STAFF</f>
        <v/>
      </c>
      <c r="E162" s="12">
        <f>IF(C162&lt;D162,"UNCOVERED","ok")</f>
        <v/>
      </c>
    </row>
    <row r="163">
      <c r="A163" s="6" t="inlineStr">
        <is>
          <t>Fri</t>
        </is>
      </c>
      <c r="B163" s="6" t="inlineStr">
        <is>
          <t>6:30 PM</t>
        </is>
      </c>
      <c r="C163" s="12">
        <f>COUNTIF(Schedule!EW3:EW6,"●")+COUNTIF(Schedule!EW3:EW6,"R")</f>
        <v/>
      </c>
      <c r="D163" s="12">
        <f>WEEKDAY_STAFF</f>
        <v/>
      </c>
      <c r="E163" s="12">
        <f>IF(C163&lt;D163,"UNCOVERED","ok")</f>
        <v/>
      </c>
    </row>
    <row r="164">
      <c r="A164" s="6" t="inlineStr">
        <is>
          <t>Fri</t>
        </is>
      </c>
      <c r="B164" s="6" t="inlineStr">
        <is>
          <t>7:00 PM</t>
        </is>
      </c>
      <c r="C164" s="12">
        <f>COUNTIF(Schedule!EX3:EX6,"●")+COUNTIF(Schedule!EX3:EX6,"R")</f>
        <v/>
      </c>
      <c r="D164" s="12">
        <f>WEEKDAY_STAFF</f>
        <v/>
      </c>
      <c r="E164" s="12">
        <f>IF(C164&lt;D164,"UNCOVERED","ok")</f>
        <v/>
      </c>
    </row>
    <row r="165">
      <c r="A165" s="6" t="inlineStr">
        <is>
          <t>Fri</t>
        </is>
      </c>
      <c r="B165" s="6" t="inlineStr">
        <is>
          <t>7:30 PM</t>
        </is>
      </c>
      <c r="C165" s="12">
        <f>COUNTIF(Schedule!EY3:EY6,"●")+COUNTIF(Schedule!EY3:EY6,"R")</f>
        <v/>
      </c>
      <c r="D165" s="12">
        <f>WEEKDAY_STAFF</f>
        <v/>
      </c>
      <c r="E165" s="12">
        <f>IF(C165&lt;D165,"UNCOVERED","ok")</f>
        <v/>
      </c>
    </row>
    <row r="166">
      <c r="A166" s="6" t="inlineStr">
        <is>
          <t>Fri</t>
        </is>
      </c>
      <c r="B166" s="6" t="inlineStr">
        <is>
          <t>8:00 PM</t>
        </is>
      </c>
      <c r="C166" s="12">
        <f>COUNTIF(Schedule!EZ3:EZ6,"●")+COUNTIF(Schedule!EZ3:EZ6,"R")</f>
        <v/>
      </c>
      <c r="D166" s="12">
        <f>WEEKDAY_STAFF</f>
        <v/>
      </c>
      <c r="E166" s="12">
        <f>IF(C166&lt;D166,"UNCOVERED","ok")</f>
        <v/>
      </c>
    </row>
    <row r="167">
      <c r="A167" s="6" t="inlineStr">
        <is>
          <t>Fri</t>
        </is>
      </c>
      <c r="B167" s="6" t="inlineStr">
        <is>
          <t>8:30 PM</t>
        </is>
      </c>
      <c r="C167" s="12">
        <f>COUNTIF(Schedule!FA3:FA6,"●")+COUNTIF(Schedule!FA3:FA6,"R")</f>
        <v/>
      </c>
      <c r="D167" s="12">
        <f>WEEKDAY_STAFF</f>
        <v/>
      </c>
      <c r="E167" s="12">
        <f>IF(C167&lt;D167,"UNCOVERED","ok")</f>
        <v/>
      </c>
    </row>
    <row r="168">
      <c r="A168" s="6" t="inlineStr">
        <is>
          <t>Fri</t>
        </is>
      </c>
      <c r="B168" s="6" t="inlineStr">
        <is>
          <t>9:00 PM</t>
        </is>
      </c>
      <c r="C168" s="12">
        <f>COUNTIF(Schedule!FB3:FB6,"●")+COUNTIF(Schedule!FB3:FB6,"R")</f>
        <v/>
      </c>
      <c r="D168" s="12">
        <f>WEEKDAY_STAFF</f>
        <v/>
      </c>
      <c r="E168" s="12">
        <f>IF(C168&lt;D168,"UNCOVERED","ok")</f>
        <v/>
      </c>
    </row>
    <row r="169">
      <c r="A169" s="6" t="inlineStr">
        <is>
          <t>Fri</t>
        </is>
      </c>
      <c r="B169" s="6" t="inlineStr">
        <is>
          <t>9:30 PM</t>
        </is>
      </c>
      <c r="C169" s="12">
        <f>COUNTIF(Schedule!FC3:FC6,"●")+COUNTIF(Schedule!FC3:FC6,"R")</f>
        <v/>
      </c>
      <c r="D169" s="12">
        <f>WEEKDAY_STAFF</f>
        <v/>
      </c>
      <c r="E169" s="12">
        <f>IF(C169&lt;D169,"UNCOVERED","ok")</f>
        <v/>
      </c>
    </row>
    <row r="170">
      <c r="A170" s="6" t="inlineStr">
        <is>
          <t>Fri</t>
        </is>
      </c>
      <c r="B170" s="6" t="inlineStr">
        <is>
          <t>10:00 PM</t>
        </is>
      </c>
      <c r="C170" s="12">
        <f>COUNTIF(Schedule!FD3:FD6,"●")+COUNTIF(Schedule!FD3:FD6,"R")</f>
        <v/>
      </c>
      <c r="D170" s="12">
        <f>WEEKDAY_STAFF</f>
        <v/>
      </c>
      <c r="E170" s="12">
        <f>IF(C170&lt;D170,"UNCOVERED","ok")</f>
        <v/>
      </c>
    </row>
    <row r="171">
      <c r="A171" s="6" t="inlineStr">
        <is>
          <t>Fri</t>
        </is>
      </c>
      <c r="B171" s="6" t="inlineStr">
        <is>
          <t>10:30 PM</t>
        </is>
      </c>
      <c r="C171" s="12">
        <f>COUNTIF(Schedule!FE3:FE6,"●")+COUNTIF(Schedule!FE3:FE6,"R")</f>
        <v/>
      </c>
      <c r="D171" s="12">
        <f>WEEKDAY_STAFF</f>
        <v/>
      </c>
      <c r="E171" s="12">
        <f>IF(C171&lt;D171,"UNCOVERED","ok")</f>
        <v/>
      </c>
    </row>
    <row r="172">
      <c r="A172" s="6" t="inlineStr">
        <is>
          <t>Sat</t>
        </is>
      </c>
      <c r="B172" s="6" t="inlineStr">
        <is>
          <t>7:00 AM</t>
        </is>
      </c>
      <c r="C172" s="12">
        <f>COUNTIF(Schedule!FF3:FF6,"●")+COUNTIF(Schedule!FF3:FF6,"R")</f>
        <v/>
      </c>
      <c r="D172" s="12">
        <f>WEEKEND_STAFF</f>
        <v/>
      </c>
      <c r="E172" s="12">
        <f>IF(C172&lt;D172,"UNCOVERED","ok")</f>
        <v/>
      </c>
    </row>
    <row r="173">
      <c r="A173" s="6" t="inlineStr">
        <is>
          <t>Sat</t>
        </is>
      </c>
      <c r="B173" s="6" t="inlineStr">
        <is>
          <t>7:30 AM</t>
        </is>
      </c>
      <c r="C173" s="12">
        <f>COUNTIF(Schedule!FG3:FG6,"●")+COUNTIF(Schedule!FG3:FG6,"R")</f>
        <v/>
      </c>
      <c r="D173" s="12">
        <f>WEEKEND_STAFF</f>
        <v/>
      </c>
      <c r="E173" s="12">
        <f>IF(C173&lt;D173,"UNCOVERED","ok")</f>
        <v/>
      </c>
    </row>
    <row r="174">
      <c r="A174" s="6" t="inlineStr">
        <is>
          <t>Sat</t>
        </is>
      </c>
      <c r="B174" s="6" t="inlineStr">
        <is>
          <t>8:00 AM</t>
        </is>
      </c>
      <c r="C174" s="12">
        <f>COUNTIF(Schedule!FH3:FH6,"●")+COUNTIF(Schedule!FH3:FH6,"R")</f>
        <v/>
      </c>
      <c r="D174" s="12">
        <f>WEEKEND_STAFF</f>
        <v/>
      </c>
      <c r="E174" s="12">
        <f>IF(C174&lt;D174,"UNCOVERED","ok")</f>
        <v/>
      </c>
    </row>
    <row r="175">
      <c r="A175" s="6" t="inlineStr">
        <is>
          <t>Sat</t>
        </is>
      </c>
      <c r="B175" s="6" t="inlineStr">
        <is>
          <t>8:30 AM</t>
        </is>
      </c>
      <c r="C175" s="12">
        <f>COUNTIF(Schedule!FI3:FI6,"●")+COUNTIF(Schedule!FI3:FI6,"R")</f>
        <v/>
      </c>
      <c r="D175" s="12">
        <f>WEEKEND_STAFF</f>
        <v/>
      </c>
      <c r="E175" s="12">
        <f>IF(C175&lt;D175,"UNCOVERED","ok")</f>
        <v/>
      </c>
    </row>
    <row r="176">
      <c r="A176" s="6" t="inlineStr">
        <is>
          <t>Sat</t>
        </is>
      </c>
      <c r="B176" s="6" t="inlineStr">
        <is>
          <t>9:00 AM</t>
        </is>
      </c>
      <c r="C176" s="12">
        <f>COUNTIF(Schedule!FJ3:FJ6,"●")+COUNTIF(Schedule!FJ3:FJ6,"R")</f>
        <v/>
      </c>
      <c r="D176" s="12">
        <f>WEEKEND_STAFF</f>
        <v/>
      </c>
      <c r="E176" s="12">
        <f>IF(C176&lt;D176,"UNCOVERED","ok")</f>
        <v/>
      </c>
    </row>
    <row r="177">
      <c r="A177" s="6" t="inlineStr">
        <is>
          <t>Sat</t>
        </is>
      </c>
      <c r="B177" s="6" t="inlineStr">
        <is>
          <t>9:30 AM</t>
        </is>
      </c>
      <c r="C177" s="12">
        <f>COUNTIF(Schedule!FK3:FK6,"●")+COUNTIF(Schedule!FK3:FK6,"R")</f>
        <v/>
      </c>
      <c r="D177" s="12">
        <f>WEEKEND_STAFF</f>
        <v/>
      </c>
      <c r="E177" s="12">
        <f>IF(C177&lt;D177,"UNCOVERED","ok")</f>
        <v/>
      </c>
    </row>
    <row r="178">
      <c r="A178" s="6" t="inlineStr">
        <is>
          <t>Sat</t>
        </is>
      </c>
      <c r="B178" s="6" t="inlineStr">
        <is>
          <t>10:00 AM</t>
        </is>
      </c>
      <c r="C178" s="12">
        <f>COUNTIF(Schedule!FL3:FL6,"●")+COUNTIF(Schedule!FL3:FL6,"R")</f>
        <v/>
      </c>
      <c r="D178" s="12">
        <f>WEEKEND_STAFF</f>
        <v/>
      </c>
      <c r="E178" s="12">
        <f>IF(C178&lt;D178,"UNCOVERED","ok")</f>
        <v/>
      </c>
    </row>
    <row r="179">
      <c r="A179" s="6" t="inlineStr">
        <is>
          <t>Sat</t>
        </is>
      </c>
      <c r="B179" s="6" t="inlineStr">
        <is>
          <t>10:30 AM</t>
        </is>
      </c>
      <c r="C179" s="12">
        <f>COUNTIF(Schedule!FM3:FM6,"●")+COUNTIF(Schedule!FM3:FM6,"R")</f>
        <v/>
      </c>
      <c r="D179" s="12">
        <f>WEEKEND_STAFF</f>
        <v/>
      </c>
      <c r="E179" s="12">
        <f>IF(C179&lt;D179,"UNCOVERED","ok")</f>
        <v/>
      </c>
    </row>
    <row r="180">
      <c r="A180" s="6" t="inlineStr">
        <is>
          <t>Sat</t>
        </is>
      </c>
      <c r="B180" s="6" t="inlineStr">
        <is>
          <t>11:00 AM</t>
        </is>
      </c>
      <c r="C180" s="12">
        <f>COUNTIF(Schedule!FN3:FN6,"●")+COUNTIF(Schedule!FN3:FN6,"R")</f>
        <v/>
      </c>
      <c r="D180" s="12">
        <f>WEEKEND_STAFF</f>
        <v/>
      </c>
      <c r="E180" s="12">
        <f>IF(C180&lt;D180,"UNCOVERED","ok")</f>
        <v/>
      </c>
    </row>
    <row r="181">
      <c r="A181" s="6" t="inlineStr">
        <is>
          <t>Sat</t>
        </is>
      </c>
      <c r="B181" s="6" t="inlineStr">
        <is>
          <t>11:30 AM</t>
        </is>
      </c>
      <c r="C181" s="12">
        <f>COUNTIF(Schedule!FO3:FO6,"●")+COUNTIF(Schedule!FO3:FO6,"R")</f>
        <v/>
      </c>
      <c r="D181" s="12">
        <f>WEEKEND_STAFF</f>
        <v/>
      </c>
      <c r="E181" s="12">
        <f>IF(C181&lt;D181,"UNCOVERED","ok")</f>
        <v/>
      </c>
    </row>
    <row r="182">
      <c r="A182" s="6" t="inlineStr">
        <is>
          <t>Sat</t>
        </is>
      </c>
      <c r="B182" s="6" t="inlineStr">
        <is>
          <t>12:00 PM</t>
        </is>
      </c>
      <c r="C182" s="12">
        <f>COUNTIF(Schedule!FP3:FP6,"●")+COUNTIF(Schedule!FP3:FP6,"R")</f>
        <v/>
      </c>
      <c r="D182" s="12">
        <f>WEEKEND_STAFF</f>
        <v/>
      </c>
      <c r="E182" s="12">
        <f>IF(C182&lt;D182,"UNCOVERED","ok")</f>
        <v/>
      </c>
    </row>
    <row r="183">
      <c r="A183" s="6" t="inlineStr">
        <is>
          <t>Sat</t>
        </is>
      </c>
      <c r="B183" s="6" t="inlineStr">
        <is>
          <t>12:30 PM</t>
        </is>
      </c>
      <c r="C183" s="12">
        <f>COUNTIF(Schedule!FQ3:FQ6,"●")+COUNTIF(Schedule!FQ3:FQ6,"R")</f>
        <v/>
      </c>
      <c r="D183" s="12">
        <f>WEEKEND_STAFF</f>
        <v/>
      </c>
      <c r="E183" s="12">
        <f>IF(C183&lt;D183,"UNCOVERED","ok")</f>
        <v/>
      </c>
    </row>
    <row r="184">
      <c r="A184" s="6" t="inlineStr">
        <is>
          <t>Sat</t>
        </is>
      </c>
      <c r="B184" s="6" t="inlineStr">
        <is>
          <t>1:00 PM</t>
        </is>
      </c>
      <c r="C184" s="12">
        <f>COUNTIF(Schedule!FR3:FR6,"●")+COUNTIF(Schedule!FR3:FR6,"R")</f>
        <v/>
      </c>
      <c r="D184" s="12">
        <f>WEEKEND_STAFF</f>
        <v/>
      </c>
      <c r="E184" s="12">
        <f>IF(C184&lt;D184,"UNCOVERED","ok")</f>
        <v/>
      </c>
    </row>
    <row r="185">
      <c r="A185" s="6" t="inlineStr">
        <is>
          <t>Sat</t>
        </is>
      </c>
      <c r="B185" s="6" t="inlineStr">
        <is>
          <t>1:30 PM</t>
        </is>
      </c>
      <c r="C185" s="12">
        <f>COUNTIF(Schedule!FS3:FS6,"●")+COUNTIF(Schedule!FS3:FS6,"R")</f>
        <v/>
      </c>
      <c r="D185" s="12">
        <f>WEEKEND_STAFF</f>
        <v/>
      </c>
      <c r="E185" s="12">
        <f>IF(C185&lt;D185,"UNCOVERED","ok")</f>
        <v/>
      </c>
    </row>
    <row r="186">
      <c r="A186" s="6" t="inlineStr">
        <is>
          <t>Sat</t>
        </is>
      </c>
      <c r="B186" s="6" t="inlineStr">
        <is>
          <t>2:00 PM</t>
        </is>
      </c>
      <c r="C186" s="12">
        <f>COUNTIF(Schedule!FT3:FT6,"●")+COUNTIF(Schedule!FT3:FT6,"R")</f>
        <v/>
      </c>
      <c r="D186" s="12">
        <f>WEEKEND_STAFF</f>
        <v/>
      </c>
      <c r="E186" s="12">
        <f>IF(C186&lt;D186,"UNCOVERED","ok")</f>
        <v/>
      </c>
    </row>
    <row r="187">
      <c r="A187" s="6" t="inlineStr">
        <is>
          <t>Sat</t>
        </is>
      </c>
      <c r="B187" s="6" t="inlineStr">
        <is>
          <t>2:30 PM</t>
        </is>
      </c>
      <c r="C187" s="12">
        <f>COUNTIF(Schedule!FU3:FU6,"●")+COUNTIF(Schedule!FU3:FU6,"R")</f>
        <v/>
      </c>
      <c r="D187" s="12">
        <f>WEEKEND_STAFF</f>
        <v/>
      </c>
      <c r="E187" s="12">
        <f>IF(C187&lt;D187,"UNCOVERED","ok")</f>
        <v/>
      </c>
    </row>
    <row r="188">
      <c r="A188" s="6" t="inlineStr">
        <is>
          <t>Sat</t>
        </is>
      </c>
      <c r="B188" s="6" t="inlineStr">
        <is>
          <t>3:00 PM</t>
        </is>
      </c>
      <c r="C188" s="12">
        <f>COUNTIF(Schedule!FV3:FV6,"●")+COUNTIF(Schedule!FV3:FV6,"R")</f>
        <v/>
      </c>
      <c r="D188" s="12">
        <f>WEEKEND_STAFF</f>
        <v/>
      </c>
      <c r="E188" s="12">
        <f>IF(C188&lt;D188,"UNCOVERED","ok")</f>
        <v/>
      </c>
    </row>
    <row r="189">
      <c r="A189" s="6" t="inlineStr">
        <is>
          <t>Sat</t>
        </is>
      </c>
      <c r="B189" s="6" t="inlineStr">
        <is>
          <t>3:30 PM</t>
        </is>
      </c>
      <c r="C189" s="12">
        <f>COUNTIF(Schedule!FW3:FW6,"●")+COUNTIF(Schedule!FW3:FW6,"R")</f>
        <v/>
      </c>
      <c r="D189" s="12">
        <f>WEEKEND_STAFF</f>
        <v/>
      </c>
      <c r="E189" s="12">
        <f>IF(C189&lt;D189,"UNCOVERED","ok")</f>
        <v/>
      </c>
    </row>
    <row r="190">
      <c r="A190" s="6" t="inlineStr">
        <is>
          <t>Sat</t>
        </is>
      </c>
      <c r="B190" s="6" t="inlineStr">
        <is>
          <t>4:00 PM</t>
        </is>
      </c>
      <c r="C190" s="12">
        <f>COUNTIF(Schedule!FX3:FX6,"●")+COUNTIF(Schedule!FX3:FX6,"R")</f>
        <v/>
      </c>
      <c r="D190" s="12">
        <f>WEEKEND_STAFF</f>
        <v/>
      </c>
      <c r="E190" s="12">
        <f>IF(C190&lt;D190,"UNCOVERED","ok")</f>
        <v/>
      </c>
    </row>
    <row r="191">
      <c r="A191" s="6" t="inlineStr">
        <is>
          <t>Sat</t>
        </is>
      </c>
      <c r="B191" s="6" t="inlineStr">
        <is>
          <t>4:30 PM</t>
        </is>
      </c>
      <c r="C191" s="12">
        <f>COUNTIF(Schedule!FY3:FY6,"●")+COUNTIF(Schedule!FY3:FY6,"R")</f>
        <v/>
      </c>
      <c r="D191" s="12">
        <f>WEEKEND_STAFF</f>
        <v/>
      </c>
      <c r="E191" s="12">
        <f>IF(C191&lt;D191,"UNCOVERED","ok")</f>
        <v/>
      </c>
    </row>
    <row r="192">
      <c r="A192" s="6" t="inlineStr">
        <is>
          <t>Sat</t>
        </is>
      </c>
      <c r="B192" s="6" t="inlineStr">
        <is>
          <t>5:00 PM</t>
        </is>
      </c>
      <c r="C192" s="12">
        <f>COUNTIF(Schedule!FZ3:FZ6,"●")+COUNTIF(Schedule!FZ3:FZ6,"R")</f>
        <v/>
      </c>
      <c r="D192" s="12">
        <f>WEEKEND_STAFF</f>
        <v/>
      </c>
      <c r="E192" s="12">
        <f>IF(C192&lt;D192,"UNCOVERED","ok")</f>
        <v/>
      </c>
    </row>
    <row r="193">
      <c r="A193" s="6" t="inlineStr">
        <is>
          <t>Sat</t>
        </is>
      </c>
      <c r="B193" s="6" t="inlineStr">
        <is>
          <t>5:30 PM</t>
        </is>
      </c>
      <c r="C193" s="12">
        <f>COUNTIF(Schedule!GA3:GA6,"●")+COUNTIF(Schedule!GA3:GA6,"R")</f>
        <v/>
      </c>
      <c r="D193" s="12">
        <f>WEEKEND_STAFF</f>
        <v/>
      </c>
      <c r="E193" s="12">
        <f>IF(C193&lt;D193,"UNCOVERED","ok")</f>
        <v/>
      </c>
    </row>
    <row r="194">
      <c r="A194" s="6" t="inlineStr">
        <is>
          <t>Sat</t>
        </is>
      </c>
      <c r="B194" s="6" t="inlineStr">
        <is>
          <t>6:00 PM</t>
        </is>
      </c>
      <c r="C194" s="12">
        <f>COUNTIF(Schedule!GB3:GB6,"●")+COUNTIF(Schedule!GB3:GB6,"R")</f>
        <v/>
      </c>
      <c r="D194" s="12">
        <f>WEEKEND_STAFF</f>
        <v/>
      </c>
      <c r="E194" s="12">
        <f>IF(C194&lt;D194,"UNCOVERED","ok")</f>
        <v/>
      </c>
    </row>
    <row r="195">
      <c r="A195" s="6" t="inlineStr">
        <is>
          <t>Sat</t>
        </is>
      </c>
      <c r="B195" s="6" t="inlineStr">
        <is>
          <t>6:30 PM</t>
        </is>
      </c>
      <c r="C195" s="12">
        <f>COUNTIF(Schedule!GC3:GC6,"●")+COUNTIF(Schedule!GC3:GC6,"R")</f>
        <v/>
      </c>
      <c r="D195" s="12">
        <f>WEEKEND_STAFF</f>
        <v/>
      </c>
      <c r="E195" s="12">
        <f>IF(C195&lt;D195,"UNCOVERED","ok")</f>
        <v/>
      </c>
    </row>
    <row r="196">
      <c r="A196" s="6" t="inlineStr">
        <is>
          <t>Sat</t>
        </is>
      </c>
      <c r="B196" s="6" t="inlineStr">
        <is>
          <t>7:00 PM</t>
        </is>
      </c>
      <c r="C196" s="12">
        <f>COUNTIF(Schedule!GD3:GD6,"●")+COUNTIF(Schedule!GD3:GD6,"R")</f>
        <v/>
      </c>
      <c r="D196" s="12">
        <f>WEEKEND_STAFF</f>
        <v/>
      </c>
      <c r="E196" s="12">
        <f>IF(C196&lt;D196,"UNCOVERED","ok")</f>
        <v/>
      </c>
    </row>
    <row r="197">
      <c r="A197" s="6" t="inlineStr">
        <is>
          <t>Sat</t>
        </is>
      </c>
      <c r="B197" s="6" t="inlineStr">
        <is>
          <t>7:30 PM</t>
        </is>
      </c>
      <c r="C197" s="12">
        <f>COUNTIF(Schedule!GE3:GE6,"●")+COUNTIF(Schedule!GE3:GE6,"R")</f>
        <v/>
      </c>
      <c r="D197" s="12">
        <f>WEEKEND_STAFF</f>
        <v/>
      </c>
      <c r="E197" s="12">
        <f>IF(C197&lt;D197,"UNCOVERED","ok")</f>
        <v/>
      </c>
    </row>
    <row r="198">
      <c r="A198" s="6" t="inlineStr">
        <is>
          <t>Sat</t>
        </is>
      </c>
      <c r="B198" s="6" t="inlineStr">
        <is>
          <t>8:00 PM</t>
        </is>
      </c>
      <c r="C198" s="12">
        <f>COUNTIF(Schedule!GF3:GF6,"●")+COUNTIF(Schedule!GF3:GF6,"R")</f>
        <v/>
      </c>
      <c r="D198" s="12">
        <f>WEEKEND_STAFF</f>
        <v/>
      </c>
      <c r="E198" s="12">
        <f>IF(C198&lt;D198,"UNCOVERED","ok")</f>
        <v/>
      </c>
    </row>
    <row r="199">
      <c r="A199" s="6" t="inlineStr">
        <is>
          <t>Sat</t>
        </is>
      </c>
      <c r="B199" s="6" t="inlineStr">
        <is>
          <t>8:30 PM</t>
        </is>
      </c>
      <c r="C199" s="12">
        <f>COUNTIF(Schedule!GG3:GG6,"●")+COUNTIF(Schedule!GG3:GG6,"R")</f>
        <v/>
      </c>
      <c r="D199" s="12">
        <f>WEEKEND_STAFF</f>
        <v/>
      </c>
      <c r="E199" s="12">
        <f>IF(C199&lt;D199,"UNCOVERED","ok")</f>
        <v/>
      </c>
    </row>
    <row r="200">
      <c r="A200" s="6" t="inlineStr">
        <is>
          <t>Sat</t>
        </is>
      </c>
      <c r="B200" s="6" t="inlineStr">
        <is>
          <t>9:00 PM</t>
        </is>
      </c>
      <c r="C200" s="12">
        <f>COUNTIF(Schedule!GH3:GH6,"●")+COUNTIF(Schedule!GH3:GH6,"R")</f>
        <v/>
      </c>
      <c r="D200" s="12">
        <f>WEEKEND_STAFF</f>
        <v/>
      </c>
      <c r="E200" s="12">
        <f>IF(C200&lt;D200,"UNCOVERED","ok")</f>
        <v/>
      </c>
    </row>
    <row r="201">
      <c r="A201" s="6" t="inlineStr">
        <is>
          <t>Sat</t>
        </is>
      </c>
      <c r="B201" s="6" t="inlineStr">
        <is>
          <t>9:30 PM</t>
        </is>
      </c>
      <c r="C201" s="12">
        <f>COUNTIF(Schedule!GI3:GI6,"●")+COUNTIF(Schedule!GI3:GI6,"R")</f>
        <v/>
      </c>
      <c r="D201" s="12">
        <f>WEEKEND_STAFF</f>
        <v/>
      </c>
      <c r="E201" s="12">
        <f>IF(C201&lt;D201,"UNCOVERED","ok")</f>
        <v/>
      </c>
    </row>
    <row r="202">
      <c r="A202" s="6" t="inlineStr">
        <is>
          <t>Sat</t>
        </is>
      </c>
      <c r="B202" s="6" t="inlineStr">
        <is>
          <t>10:00 PM</t>
        </is>
      </c>
      <c r="C202" s="12">
        <f>COUNTIF(Schedule!GJ3:GJ6,"●")+COUNTIF(Schedule!GJ3:GJ6,"R")</f>
        <v/>
      </c>
      <c r="D202" s="12">
        <f>WEEKEND_STAFF</f>
        <v/>
      </c>
      <c r="E202" s="12">
        <f>IF(C202&lt;D202,"UNCOVERED","ok")</f>
        <v/>
      </c>
    </row>
    <row r="203">
      <c r="A203" s="6" t="inlineStr">
        <is>
          <t>Sat</t>
        </is>
      </c>
      <c r="B203" s="6" t="inlineStr">
        <is>
          <t>10:30 PM</t>
        </is>
      </c>
      <c r="C203" s="12">
        <f>COUNTIF(Schedule!GK3:GK6,"●")+COUNTIF(Schedule!GK3:GK6,"R")</f>
        <v/>
      </c>
      <c r="D203" s="12">
        <f>WEEKEND_STAFF</f>
        <v/>
      </c>
      <c r="E203" s="12">
        <f>IF(C203&lt;D203,"UNCOVERED","ok")</f>
        <v/>
      </c>
    </row>
    <row r="204">
      <c r="A204" s="6" t="inlineStr">
        <is>
          <t>Sun</t>
        </is>
      </c>
      <c r="B204" s="6" t="inlineStr">
        <is>
          <t>7:00 AM</t>
        </is>
      </c>
      <c r="C204" s="12">
        <f>COUNTIF(Schedule!GL3:GL6,"●")+COUNTIF(Schedule!GL3:GL6,"R")</f>
        <v/>
      </c>
      <c r="D204" s="12">
        <f>WEEKEND_STAFF</f>
        <v/>
      </c>
      <c r="E204" s="12">
        <f>IF(C204&lt;D204,"UNCOVERED","ok")</f>
        <v/>
      </c>
    </row>
    <row r="205">
      <c r="A205" s="6" t="inlineStr">
        <is>
          <t>Sun</t>
        </is>
      </c>
      <c r="B205" s="6" t="inlineStr">
        <is>
          <t>7:30 AM</t>
        </is>
      </c>
      <c r="C205" s="12">
        <f>COUNTIF(Schedule!GM3:GM6,"●")+COUNTIF(Schedule!GM3:GM6,"R")</f>
        <v/>
      </c>
      <c r="D205" s="12">
        <f>WEEKEND_STAFF</f>
        <v/>
      </c>
      <c r="E205" s="12">
        <f>IF(C205&lt;D205,"UNCOVERED","ok")</f>
        <v/>
      </c>
    </row>
    <row r="206">
      <c r="A206" s="6" t="inlineStr">
        <is>
          <t>Sun</t>
        </is>
      </c>
      <c r="B206" s="6" t="inlineStr">
        <is>
          <t>8:00 AM</t>
        </is>
      </c>
      <c r="C206" s="12">
        <f>COUNTIF(Schedule!GN3:GN6,"●")+COUNTIF(Schedule!GN3:GN6,"R")</f>
        <v/>
      </c>
      <c r="D206" s="12">
        <f>WEEKEND_STAFF</f>
        <v/>
      </c>
      <c r="E206" s="12">
        <f>IF(C206&lt;D206,"UNCOVERED","ok")</f>
        <v/>
      </c>
    </row>
    <row r="207">
      <c r="A207" s="6" t="inlineStr">
        <is>
          <t>Sun</t>
        </is>
      </c>
      <c r="B207" s="6" t="inlineStr">
        <is>
          <t>8:30 AM</t>
        </is>
      </c>
      <c r="C207" s="12">
        <f>COUNTIF(Schedule!GO3:GO6,"●")+COUNTIF(Schedule!GO3:GO6,"R")</f>
        <v/>
      </c>
      <c r="D207" s="12">
        <f>WEEKEND_STAFF</f>
        <v/>
      </c>
      <c r="E207" s="12">
        <f>IF(C207&lt;D207,"UNCOVERED","ok")</f>
        <v/>
      </c>
    </row>
    <row r="208">
      <c r="A208" s="6" t="inlineStr">
        <is>
          <t>Sun</t>
        </is>
      </c>
      <c r="B208" s="6" t="inlineStr">
        <is>
          <t>9:00 AM</t>
        </is>
      </c>
      <c r="C208" s="12">
        <f>COUNTIF(Schedule!GP3:GP6,"●")+COUNTIF(Schedule!GP3:GP6,"R")</f>
        <v/>
      </c>
      <c r="D208" s="12">
        <f>WEEKEND_STAFF</f>
        <v/>
      </c>
      <c r="E208" s="12">
        <f>IF(C208&lt;D208,"UNCOVERED","ok")</f>
        <v/>
      </c>
    </row>
    <row r="209">
      <c r="A209" s="6" t="inlineStr">
        <is>
          <t>Sun</t>
        </is>
      </c>
      <c r="B209" s="6" t="inlineStr">
        <is>
          <t>9:30 AM</t>
        </is>
      </c>
      <c r="C209" s="12">
        <f>COUNTIF(Schedule!GQ3:GQ6,"●")+COUNTIF(Schedule!GQ3:GQ6,"R")</f>
        <v/>
      </c>
      <c r="D209" s="12">
        <f>WEEKEND_STAFF</f>
        <v/>
      </c>
      <c r="E209" s="12">
        <f>IF(C209&lt;D209,"UNCOVERED","ok")</f>
        <v/>
      </c>
    </row>
    <row r="210">
      <c r="A210" s="6" t="inlineStr">
        <is>
          <t>Sun</t>
        </is>
      </c>
      <c r="B210" s="6" t="inlineStr">
        <is>
          <t>10:00 AM</t>
        </is>
      </c>
      <c r="C210" s="12">
        <f>COUNTIF(Schedule!GR3:GR6,"●")+COUNTIF(Schedule!GR3:GR6,"R")</f>
        <v/>
      </c>
      <c r="D210" s="12">
        <f>WEEKEND_STAFF</f>
        <v/>
      </c>
      <c r="E210" s="12">
        <f>IF(C210&lt;D210,"UNCOVERED","ok")</f>
        <v/>
      </c>
    </row>
    <row r="211">
      <c r="A211" s="6" t="inlineStr">
        <is>
          <t>Sun</t>
        </is>
      </c>
      <c r="B211" s="6" t="inlineStr">
        <is>
          <t>10:30 AM</t>
        </is>
      </c>
      <c r="C211" s="12">
        <f>COUNTIF(Schedule!GS3:GS6,"●")+COUNTIF(Schedule!GS3:GS6,"R")</f>
        <v/>
      </c>
      <c r="D211" s="12">
        <f>WEEKEND_STAFF</f>
        <v/>
      </c>
      <c r="E211" s="12">
        <f>IF(C211&lt;D211,"UNCOVERED","ok")</f>
        <v/>
      </c>
    </row>
    <row r="212">
      <c r="A212" s="6" t="inlineStr">
        <is>
          <t>Sun</t>
        </is>
      </c>
      <c r="B212" s="6" t="inlineStr">
        <is>
          <t>11:00 AM</t>
        </is>
      </c>
      <c r="C212" s="12">
        <f>COUNTIF(Schedule!GT3:GT6,"●")+COUNTIF(Schedule!GT3:GT6,"R")</f>
        <v/>
      </c>
      <c r="D212" s="12">
        <f>WEEKEND_STAFF</f>
        <v/>
      </c>
      <c r="E212" s="12">
        <f>IF(C212&lt;D212,"UNCOVERED","ok")</f>
        <v/>
      </c>
    </row>
    <row r="213">
      <c r="A213" s="6" t="inlineStr">
        <is>
          <t>Sun</t>
        </is>
      </c>
      <c r="B213" s="6" t="inlineStr">
        <is>
          <t>11:30 AM</t>
        </is>
      </c>
      <c r="C213" s="12">
        <f>COUNTIF(Schedule!GU3:GU6,"●")+COUNTIF(Schedule!GU3:GU6,"R")</f>
        <v/>
      </c>
      <c r="D213" s="12">
        <f>WEEKEND_STAFF</f>
        <v/>
      </c>
      <c r="E213" s="12">
        <f>IF(C213&lt;D213,"UNCOVERED","ok")</f>
        <v/>
      </c>
    </row>
    <row r="214">
      <c r="A214" s="6" t="inlineStr">
        <is>
          <t>Sun</t>
        </is>
      </c>
      <c r="B214" s="6" t="inlineStr">
        <is>
          <t>12:00 PM</t>
        </is>
      </c>
      <c r="C214" s="12">
        <f>COUNTIF(Schedule!GV3:GV6,"●")+COUNTIF(Schedule!GV3:GV6,"R")</f>
        <v/>
      </c>
      <c r="D214" s="12">
        <f>WEEKEND_STAFF</f>
        <v/>
      </c>
      <c r="E214" s="12">
        <f>IF(C214&lt;D214,"UNCOVERED","ok")</f>
        <v/>
      </c>
    </row>
    <row r="215">
      <c r="A215" s="6" t="inlineStr">
        <is>
          <t>Sun</t>
        </is>
      </c>
      <c r="B215" s="6" t="inlineStr">
        <is>
          <t>12:30 PM</t>
        </is>
      </c>
      <c r="C215" s="12">
        <f>COUNTIF(Schedule!GW3:GW6,"●")+COUNTIF(Schedule!GW3:GW6,"R")</f>
        <v/>
      </c>
      <c r="D215" s="12">
        <f>WEEKEND_STAFF</f>
        <v/>
      </c>
      <c r="E215" s="12">
        <f>IF(C215&lt;D215,"UNCOVERED","ok")</f>
        <v/>
      </c>
    </row>
    <row r="216">
      <c r="A216" s="6" t="inlineStr">
        <is>
          <t>Sun</t>
        </is>
      </c>
      <c r="B216" s="6" t="inlineStr">
        <is>
          <t>1:00 PM</t>
        </is>
      </c>
      <c r="C216" s="12">
        <f>COUNTIF(Schedule!GX3:GX6,"●")+COUNTIF(Schedule!GX3:GX6,"R")</f>
        <v/>
      </c>
      <c r="D216" s="12">
        <f>WEEKEND_STAFF</f>
        <v/>
      </c>
      <c r="E216" s="12">
        <f>IF(C216&lt;D216,"UNCOVERED","ok")</f>
        <v/>
      </c>
    </row>
    <row r="217">
      <c r="A217" s="6" t="inlineStr">
        <is>
          <t>Sun</t>
        </is>
      </c>
      <c r="B217" s="6" t="inlineStr">
        <is>
          <t>1:30 PM</t>
        </is>
      </c>
      <c r="C217" s="12">
        <f>COUNTIF(Schedule!GY3:GY6,"●")+COUNTIF(Schedule!GY3:GY6,"R")</f>
        <v/>
      </c>
      <c r="D217" s="12">
        <f>WEEKEND_STAFF</f>
        <v/>
      </c>
      <c r="E217" s="12">
        <f>IF(C217&lt;D217,"UNCOVERED","ok")</f>
        <v/>
      </c>
    </row>
    <row r="218">
      <c r="A218" s="6" t="inlineStr">
        <is>
          <t>Sun</t>
        </is>
      </c>
      <c r="B218" s="6" t="inlineStr">
        <is>
          <t>2:00 PM</t>
        </is>
      </c>
      <c r="C218" s="12">
        <f>COUNTIF(Schedule!GZ3:GZ6,"●")+COUNTIF(Schedule!GZ3:GZ6,"R")</f>
        <v/>
      </c>
      <c r="D218" s="12">
        <f>WEEKEND_STAFF</f>
        <v/>
      </c>
      <c r="E218" s="12">
        <f>IF(C218&lt;D218,"UNCOVERED","ok")</f>
        <v/>
      </c>
    </row>
    <row r="219">
      <c r="A219" s="6" t="inlineStr">
        <is>
          <t>Sun</t>
        </is>
      </c>
      <c r="B219" s="6" t="inlineStr">
        <is>
          <t>2:30 PM</t>
        </is>
      </c>
      <c r="C219" s="12">
        <f>COUNTIF(Schedule!HA3:HA6,"●")+COUNTIF(Schedule!HA3:HA6,"R")</f>
        <v/>
      </c>
      <c r="D219" s="12">
        <f>WEEKEND_STAFF</f>
        <v/>
      </c>
      <c r="E219" s="12">
        <f>IF(C219&lt;D219,"UNCOVERED","ok")</f>
        <v/>
      </c>
    </row>
    <row r="220">
      <c r="A220" s="6" t="inlineStr">
        <is>
          <t>Sun</t>
        </is>
      </c>
      <c r="B220" s="6" t="inlineStr">
        <is>
          <t>3:00 PM</t>
        </is>
      </c>
      <c r="C220" s="12">
        <f>COUNTIF(Schedule!HB3:HB6,"●")+COUNTIF(Schedule!HB3:HB6,"R")</f>
        <v/>
      </c>
      <c r="D220" s="12">
        <f>WEEKEND_STAFF</f>
        <v/>
      </c>
      <c r="E220" s="12">
        <f>IF(C220&lt;D220,"UNCOVERED","ok")</f>
        <v/>
      </c>
    </row>
    <row r="221">
      <c r="A221" s="6" t="inlineStr">
        <is>
          <t>Sun</t>
        </is>
      </c>
      <c r="B221" s="6" t="inlineStr">
        <is>
          <t>3:30 PM</t>
        </is>
      </c>
      <c r="C221" s="12">
        <f>COUNTIF(Schedule!HC3:HC6,"●")+COUNTIF(Schedule!HC3:HC6,"R")</f>
        <v/>
      </c>
      <c r="D221" s="12">
        <f>WEEKEND_STAFF</f>
        <v/>
      </c>
      <c r="E221" s="12">
        <f>IF(C221&lt;D221,"UNCOVERED","ok")</f>
        <v/>
      </c>
    </row>
    <row r="222">
      <c r="A222" s="6" t="inlineStr">
        <is>
          <t>Sun</t>
        </is>
      </c>
      <c r="B222" s="6" t="inlineStr">
        <is>
          <t>4:00 PM</t>
        </is>
      </c>
      <c r="C222" s="12">
        <f>COUNTIF(Schedule!HD3:HD6,"●")+COUNTIF(Schedule!HD3:HD6,"R")</f>
        <v/>
      </c>
      <c r="D222" s="12">
        <f>WEEKEND_STAFF</f>
        <v/>
      </c>
      <c r="E222" s="12">
        <f>IF(C222&lt;D222,"UNCOVERED","ok")</f>
        <v/>
      </c>
    </row>
    <row r="223">
      <c r="A223" s="6" t="inlineStr">
        <is>
          <t>Sun</t>
        </is>
      </c>
      <c r="B223" s="6" t="inlineStr">
        <is>
          <t>4:30 PM</t>
        </is>
      </c>
      <c r="C223" s="12">
        <f>COUNTIF(Schedule!HE3:HE6,"●")+COUNTIF(Schedule!HE3:HE6,"R")</f>
        <v/>
      </c>
      <c r="D223" s="12">
        <f>WEEKEND_STAFF</f>
        <v/>
      </c>
      <c r="E223" s="12">
        <f>IF(C223&lt;D223,"UNCOVERED","ok")</f>
        <v/>
      </c>
    </row>
    <row r="224">
      <c r="A224" s="6" t="inlineStr">
        <is>
          <t>Sun</t>
        </is>
      </c>
      <c r="B224" s="6" t="inlineStr">
        <is>
          <t>5:00 PM</t>
        </is>
      </c>
      <c r="C224" s="12">
        <f>COUNTIF(Schedule!HF3:HF6,"●")+COUNTIF(Schedule!HF3:HF6,"R")</f>
        <v/>
      </c>
      <c r="D224" s="12">
        <f>WEEKEND_STAFF</f>
        <v/>
      </c>
      <c r="E224" s="12">
        <f>IF(C224&lt;D224,"UNCOVERED","ok")</f>
        <v/>
      </c>
    </row>
    <row r="225">
      <c r="A225" s="6" t="inlineStr">
        <is>
          <t>Sun</t>
        </is>
      </c>
      <c r="B225" s="6" t="inlineStr">
        <is>
          <t>5:30 PM</t>
        </is>
      </c>
      <c r="C225" s="12">
        <f>COUNTIF(Schedule!HG3:HG6,"●")+COUNTIF(Schedule!HG3:HG6,"R")</f>
        <v/>
      </c>
      <c r="D225" s="12">
        <f>WEEKEND_STAFF</f>
        <v/>
      </c>
      <c r="E225" s="12">
        <f>IF(C225&lt;D225,"UNCOVERED","ok")</f>
        <v/>
      </c>
    </row>
    <row r="226">
      <c r="A226" s="6" t="inlineStr">
        <is>
          <t>Sun</t>
        </is>
      </c>
      <c r="B226" s="6" t="inlineStr">
        <is>
          <t>6:00 PM</t>
        </is>
      </c>
      <c r="C226" s="12">
        <f>COUNTIF(Schedule!HH3:HH6,"●")+COUNTIF(Schedule!HH3:HH6,"R")</f>
        <v/>
      </c>
      <c r="D226" s="12">
        <f>WEEKEND_STAFF</f>
        <v/>
      </c>
      <c r="E226" s="12">
        <f>IF(C226&lt;D226,"UNCOVERED","ok")</f>
        <v/>
      </c>
    </row>
    <row r="227">
      <c r="A227" s="6" t="inlineStr">
        <is>
          <t>Sun</t>
        </is>
      </c>
      <c r="B227" s="6" t="inlineStr">
        <is>
          <t>6:30 PM</t>
        </is>
      </c>
      <c r="C227" s="12">
        <f>COUNTIF(Schedule!HI3:HI6,"●")+COUNTIF(Schedule!HI3:HI6,"R")</f>
        <v/>
      </c>
      <c r="D227" s="12">
        <f>WEEKEND_STAFF</f>
        <v/>
      </c>
      <c r="E227" s="12">
        <f>IF(C227&lt;D227,"UNCOVERED","ok")</f>
        <v/>
      </c>
    </row>
    <row r="228">
      <c r="A228" s="6" t="inlineStr">
        <is>
          <t>Sun</t>
        </is>
      </c>
      <c r="B228" s="6" t="inlineStr">
        <is>
          <t>7:00 PM</t>
        </is>
      </c>
      <c r="C228" s="12">
        <f>COUNTIF(Schedule!HJ3:HJ6,"●")+COUNTIF(Schedule!HJ3:HJ6,"R")</f>
        <v/>
      </c>
      <c r="D228" s="12">
        <f>WEEKEND_STAFF</f>
        <v/>
      </c>
      <c r="E228" s="12">
        <f>IF(C228&lt;D228,"UNCOVERED","ok")</f>
        <v/>
      </c>
    </row>
    <row r="229">
      <c r="A229" s="6" t="inlineStr">
        <is>
          <t>Sun</t>
        </is>
      </c>
      <c r="B229" s="6" t="inlineStr">
        <is>
          <t>7:30 PM</t>
        </is>
      </c>
      <c r="C229" s="12">
        <f>COUNTIF(Schedule!HK3:HK6,"●")+COUNTIF(Schedule!HK3:HK6,"R")</f>
        <v/>
      </c>
      <c r="D229" s="12">
        <f>WEEKEND_STAFF</f>
        <v/>
      </c>
      <c r="E229" s="12">
        <f>IF(C229&lt;D229,"UNCOVERED","ok")</f>
        <v/>
      </c>
    </row>
    <row r="230">
      <c r="A230" s="6" t="inlineStr">
        <is>
          <t>Sun</t>
        </is>
      </c>
      <c r="B230" s="6" t="inlineStr">
        <is>
          <t>8:00 PM</t>
        </is>
      </c>
      <c r="C230" s="12">
        <f>COUNTIF(Schedule!HL3:HL6,"●")+COUNTIF(Schedule!HL3:HL6,"R")</f>
        <v/>
      </c>
      <c r="D230" s="12">
        <f>WEEKEND_STAFF</f>
        <v/>
      </c>
      <c r="E230" s="12">
        <f>IF(C230&lt;D230,"UNCOVERED","ok")</f>
        <v/>
      </c>
    </row>
    <row r="231">
      <c r="A231" s="6" t="inlineStr">
        <is>
          <t>Sun</t>
        </is>
      </c>
      <c r="B231" s="6" t="inlineStr">
        <is>
          <t>8:30 PM</t>
        </is>
      </c>
      <c r="C231" s="12">
        <f>COUNTIF(Schedule!HM3:HM6,"●")+COUNTIF(Schedule!HM3:HM6,"R")</f>
        <v/>
      </c>
      <c r="D231" s="12">
        <f>WEEKEND_STAFF</f>
        <v/>
      </c>
      <c r="E231" s="12">
        <f>IF(C231&lt;D231,"UNCOVERED","ok")</f>
        <v/>
      </c>
    </row>
    <row r="232">
      <c r="A232" s="6" t="inlineStr">
        <is>
          <t>Sun</t>
        </is>
      </c>
      <c r="B232" s="6" t="inlineStr">
        <is>
          <t>9:00 PM</t>
        </is>
      </c>
      <c r="C232" s="12">
        <f>COUNTIF(Schedule!HN3:HN6,"●")+COUNTIF(Schedule!HN3:HN6,"R")</f>
        <v/>
      </c>
      <c r="D232" s="12">
        <f>WEEKEND_STAFF</f>
        <v/>
      </c>
      <c r="E232" s="12">
        <f>IF(C232&lt;D232,"UNCOVERED","ok")</f>
        <v/>
      </c>
    </row>
    <row r="233">
      <c r="A233" s="6" t="inlineStr">
        <is>
          <t>Sun</t>
        </is>
      </c>
      <c r="B233" s="6" t="inlineStr">
        <is>
          <t>9:30 PM</t>
        </is>
      </c>
      <c r="C233" s="12">
        <f>COUNTIF(Schedule!HO3:HO6,"●")+COUNTIF(Schedule!HO3:HO6,"R")</f>
        <v/>
      </c>
      <c r="D233" s="12">
        <f>WEEKEND_STAFF</f>
        <v/>
      </c>
      <c r="E233" s="12">
        <f>IF(C233&lt;D233,"UNCOVERED","ok")</f>
        <v/>
      </c>
    </row>
    <row r="234">
      <c r="A234" s="6" t="inlineStr">
        <is>
          <t>Sun</t>
        </is>
      </c>
      <c r="B234" s="6" t="inlineStr">
        <is>
          <t>10:00 PM</t>
        </is>
      </c>
      <c r="C234" s="12">
        <f>COUNTIF(Schedule!HP3:HP6,"●")+COUNTIF(Schedule!HP3:HP6,"R")</f>
        <v/>
      </c>
      <c r="D234" s="12">
        <f>WEEKEND_STAFF</f>
        <v/>
      </c>
      <c r="E234" s="12">
        <f>IF(C234&lt;D234,"UNCOVERED","ok")</f>
        <v/>
      </c>
    </row>
    <row r="235">
      <c r="A235" s="6" t="inlineStr">
        <is>
          <t>Sun</t>
        </is>
      </c>
      <c r="B235" s="6" t="inlineStr">
        <is>
          <t>10:30 PM</t>
        </is>
      </c>
      <c r="C235" s="12">
        <f>COUNTIF(Schedule!HQ3:HQ6,"●")+COUNTIF(Schedule!HQ3:HQ6,"R")</f>
        <v/>
      </c>
      <c r="D235" s="12">
        <f>WEEKEND_STAFF</f>
        <v/>
      </c>
      <c r="E235" s="12">
        <f>IF(C235&lt;D235,"UNCOVERED","ok")</f>
        <v/>
      </c>
    </row>
    <row r="237">
      <c r="A237" s="4" t="inlineStr">
        <is>
          <t>Feasibility check</t>
        </is>
      </c>
    </row>
    <row r="238">
      <c r="A238" s="2" t="inlineStr">
        <is>
          <t>Operating coverage required: 224 staff-hours/week (16h/day x staff needed x 7 days).</t>
        </is>
      </c>
    </row>
    <row r="239">
      <c r="A239" s="2" t="inlineStr">
        <is>
          <t>Per-employee supply cap: 35 h/week (min of MAX_HOURS_PER_DAY x 7 = 56 and TARGET_MAX_WEEKLY = 35).</t>
        </is>
      </c>
    </row>
    <row r="240">
      <c r="A240" s="2" t="inlineStr">
        <is>
          <t>With 4 employees, total supply = 140 h/week.</t>
        </is>
      </c>
    </row>
    <row r="241">
      <c r="A241" s="2">
        <f>&gt; INFEASIBLE: supply 140h &lt; required 224h. Full 2-person coverage of 16 operating hours cannot be met.</f>
        <v/>
      </c>
    </row>
    <row r="242">
      <c r="A242" s="2" t="inlineStr">
        <is>
          <t xml:space="preserve">   To make it feasible: use at least 7 employees at the current caps, OR raise TARGET_MAX_WEEKLY to &gt;= 56h so the existing 4 can each cover 56h/week (~8h/day, 7 days).</t>
        </is>
      </c>
    </row>
    <row r="243">
      <c r="A243" s="2" t="inlineStr">
        <is>
          <t xml:space="preserve">   Note: TARGET_MAX_WEEKLY is the binding constraint here, so raising MAX_HOURS_PER_DAY alone will NOT help.</t>
        </is>
      </c>
    </row>
    <row r="244">
      <c r="A244" s="2" t="inlineStr"/>
    </row>
    <row r="245">
      <c r="A245" s="2" t="inlineStr">
        <is>
          <t>All employees reached the weekly minimum.</t>
        </is>
      </c>
    </row>
    <row r="246">
      <c r="A246" s="2" t="inlineStr"/>
    </row>
    <row r="247">
      <c r="A247" s="2" t="inlineStr">
        <is>
          <t>Breaks: meal blocks (M) are unpaid and excluded from paid hours and from coverage (an uncovered gap can appear there if no co-worker overlaps). Rest blocks (R) are paid, count as work, and do cover their block.</t>
        </is>
      </c>
    </row>
  </sheetData>
  <mergeCells count="10">
    <mergeCell ref="A242:F242"/>
    <mergeCell ref="A243:F243"/>
    <mergeCell ref="A246:F246"/>
    <mergeCell ref="A247:F247"/>
    <mergeCell ref="A241:F241"/>
    <mergeCell ref="A238:F238"/>
    <mergeCell ref="A244:F244"/>
    <mergeCell ref="A245:F245"/>
    <mergeCell ref="A240:F240"/>
    <mergeCell ref="A239:F239"/>
  </mergeCells>
  <conditionalFormatting sqref="D5:D8">
    <cfRule type="expression" priority="1" dxfId="2">
      <formula>D5&lt;&gt;"OK"</formula>
    </cfRule>
  </conditionalFormatting>
  <conditionalFormatting sqref="C12:E235">
    <cfRule type="expression" priority="2" dxfId="2">
      <formula>$C12&lt;$D12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2026-06-06T04:45:16Z</dcterms:created>
  <dcterms:modified xsi:type="dcterms:W3CDTF">2026-06-06T04:45:16Z</dcterms:modified>
</cp:coreProperties>
</file>